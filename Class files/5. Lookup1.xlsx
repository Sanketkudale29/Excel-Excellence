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files\Class files\"/>
    </mc:Choice>
  </mc:AlternateContent>
  <xr:revisionPtr revIDLastSave="0" documentId="13_ncr:1_{9C293C63-821A-4487-9180-EB2467CE7010}" xr6:coauthVersionLast="47" xr6:coauthVersionMax="47" xr10:uidLastSave="{00000000-0000-0000-0000-000000000000}"/>
  <bookViews>
    <workbookView xWindow="-108" yWindow="-108" windowWidth="23256" windowHeight="12456" activeTab="1" xr2:uid="{80A2D1DF-9025-4F9A-841F-E1BCCFD46CBB}"/>
  </bookViews>
  <sheets>
    <sheet name="Vlookup" sheetId="1" r:id="rId1"/>
    <sheet name="Hlookup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1" i="2"/>
  <c r="E9" i="2"/>
  <c r="J12" i="1"/>
  <c r="K7" i="1"/>
  <c r="K8" i="1"/>
  <c r="K9" i="1"/>
  <c r="K10" i="1"/>
  <c r="K6" i="1"/>
  <c r="I18" i="1"/>
  <c r="I19" i="1"/>
  <c r="I20" i="1"/>
  <c r="I21" i="1"/>
  <c r="J15" i="1"/>
  <c r="J13" i="1"/>
  <c r="J14" i="1"/>
  <c r="D10" i="2"/>
  <c r="D11" i="2"/>
  <c r="D9" i="2"/>
  <c r="J10" i="1"/>
  <c r="J7" i="1"/>
  <c r="J8" i="1"/>
  <c r="J9" i="1"/>
  <c r="J6" i="1"/>
</calcChain>
</file>

<file path=xl/sharedStrings.xml><?xml version="1.0" encoding="utf-8"?>
<sst xmlns="http://schemas.openxmlformats.org/spreadsheetml/2006/main" count="48" uniqueCount="19">
  <si>
    <t>Name</t>
  </si>
  <si>
    <t>Employee ID</t>
  </si>
  <si>
    <t>Bonus</t>
  </si>
  <si>
    <t>Salary</t>
  </si>
  <si>
    <t>Rajat L</t>
  </si>
  <si>
    <t>Namit J</t>
  </si>
  <si>
    <t>Kriya V</t>
  </si>
  <si>
    <t>Mohd Y</t>
  </si>
  <si>
    <t>Lokesh R</t>
  </si>
  <si>
    <t>Chris G</t>
  </si>
  <si>
    <t>Neha A</t>
  </si>
  <si>
    <t>Rakesh B</t>
  </si>
  <si>
    <t>Santosh B</t>
  </si>
  <si>
    <t>Vikas C</t>
  </si>
  <si>
    <t>Vivek D</t>
  </si>
  <si>
    <t>Bharat G</t>
  </si>
  <si>
    <t>Nilesh S</t>
  </si>
  <si>
    <t>Hlookup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</si>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</sst>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"/>
  </numFmts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5F70-740C-4AA9-BD80-A0DECEE1CDF0}">
  <dimension ref="C5:K21"/>
  <sheetViews>
    <sheetView showGridLines="0" topLeftCell="A3" zoomScale="145" zoomScaleNormal="190" workbookViewId="0">
      <selection activeCell="J12" sqref="J12"/>
    </sheetView>
  </sheetViews>
  <sheetFormatPr defaultRowHeight="14.4" x14ac:dyDescent="0.3"/>
  <cols>
    <col min="4" max="4" width="12.109375" bestFit="1" customWidth="1"/>
    <col min="5" max="6" width="9.88671875" bestFit="1" customWidth="1"/>
    <col min="8" max="8" width="9.88671875" bestFit="1" customWidth="1"/>
  </cols>
  <sheetData>
    <row r="5" spans="3:11" x14ac:dyDescent="0.3">
      <c r="C5" s="1" t="s">
        <v>0</v>
      </c>
      <c r="D5" s="4" t="s">
        <v>1</v>
      </c>
      <c r="E5" s="4" t="s">
        <v>3</v>
      </c>
      <c r="F5" s="4" t="s">
        <v>2</v>
      </c>
      <c r="I5" s="1" t="s">
        <v>0</v>
      </c>
      <c r="J5" s="1" t="s">
        <v>2</v>
      </c>
      <c r="K5" s="1" t="s">
        <v>18</v>
      </c>
    </row>
    <row r="6" spans="3:11" x14ac:dyDescent="0.3">
      <c r="C6" t="s">
        <v>4</v>
      </c>
      <c r="D6" s="3">
        <v>1190</v>
      </c>
      <c r="E6" s="5">
        <v>919738</v>
      </c>
      <c r="F6" s="5">
        <v>206941.05000000002</v>
      </c>
      <c r="I6" t="s">
        <v>5</v>
      </c>
      <c r="J6">
        <f>VLOOKUP(I6,$C$5:$F$18,MATCH(F5,C5:F5,0),FALSE)</f>
        <v>195401.25</v>
      </c>
      <c r="K6">
        <f>INDEX($C$5:$F$18,MATCH(J6,$F$5:F18,0),MATCH($D$5,$C$5:$F$5,0))</f>
        <v>1334</v>
      </c>
    </row>
    <row r="7" spans="3:11" x14ac:dyDescent="0.3">
      <c r="C7" t="s">
        <v>5</v>
      </c>
      <c r="D7" s="3">
        <v>1334</v>
      </c>
      <c r="E7" s="5">
        <v>868450</v>
      </c>
      <c r="F7" s="5">
        <v>195401.25</v>
      </c>
      <c r="I7" t="s">
        <v>9</v>
      </c>
      <c r="J7">
        <f>VLOOKUP(I7,$C$5:$F$18,MATCH(F6,C6:F6,0),FALSE)</f>
        <v>224226.67500000002</v>
      </c>
      <c r="K7">
        <f>INDEX($C$5:$F$18,MATCH(J7,$F$5:F19,0),MATCH($D$5,$C$5:$F$5,0))</f>
        <v>1263</v>
      </c>
    </row>
    <row r="8" spans="3:11" x14ac:dyDescent="0.3">
      <c r="C8" t="s">
        <v>6</v>
      </c>
      <c r="D8" s="3">
        <v>1631</v>
      </c>
      <c r="E8" s="5">
        <v>970292</v>
      </c>
      <c r="F8" s="5">
        <v>218315.7</v>
      </c>
      <c r="I8" t="s">
        <v>14</v>
      </c>
      <c r="J8">
        <f>VLOOKUP(I8,$C$5:$F$18,MATCH(F7,C7:F7,0),FALSE)</f>
        <v>175071.375</v>
      </c>
      <c r="K8">
        <f>INDEX($C$5:$F$18,MATCH(J8,$F$5:F20,0),MATCH($D$5,$C$5:$F$5,0))</f>
        <v>1512</v>
      </c>
    </row>
    <row r="9" spans="3:11" x14ac:dyDescent="0.3">
      <c r="C9" t="s">
        <v>7</v>
      </c>
      <c r="D9" s="3">
        <v>1163</v>
      </c>
      <c r="E9" s="5">
        <v>974125</v>
      </c>
      <c r="F9" s="5">
        <v>219178.125</v>
      </c>
      <c r="I9" t="s">
        <v>11</v>
      </c>
      <c r="J9">
        <f>VLOOKUP(I9,$C$5:$F$18,MATCH(F8,C8:F8,0),FALSE)</f>
        <v>165438</v>
      </c>
      <c r="K9">
        <f>INDEX($C$5:$F$18,MATCH(J9,$F$5:F21,0),MATCH($D$5,$C$5:$F$5,0))</f>
        <v>1666</v>
      </c>
    </row>
    <row r="10" spans="3:11" x14ac:dyDescent="0.3">
      <c r="C10" t="s">
        <v>8</v>
      </c>
      <c r="D10" s="3">
        <v>1454</v>
      </c>
      <c r="E10" s="5">
        <v>995086</v>
      </c>
      <c r="F10" s="5">
        <v>223894.35</v>
      </c>
      <c r="I10" t="s">
        <v>4</v>
      </c>
      <c r="J10">
        <f>VLOOKUP(I10,$C$5:$F$18,MATCH(F9,C9:F9,0),FALSE)</f>
        <v>206941.05000000002</v>
      </c>
      <c r="K10">
        <f>INDEX($C$5:$F$18,MATCH(J10,$F$5:F22,0),MATCH($D$5,$C$5:$F$5,0))</f>
        <v>1190</v>
      </c>
    </row>
    <row r="11" spans="3:11" x14ac:dyDescent="0.3">
      <c r="C11" t="s">
        <v>9</v>
      </c>
      <c r="D11" s="3">
        <v>1263</v>
      </c>
      <c r="E11" s="5">
        <v>996563</v>
      </c>
      <c r="F11" s="5">
        <v>224226.67500000002</v>
      </c>
    </row>
    <row r="12" spans="3:11" x14ac:dyDescent="0.3">
      <c r="C12" t="s">
        <v>10</v>
      </c>
      <c r="D12" s="3">
        <v>1767</v>
      </c>
      <c r="E12" s="5">
        <v>747511</v>
      </c>
      <c r="F12" s="5">
        <v>168189.97500000001</v>
      </c>
      <c r="I12" s="3">
        <v>1163</v>
      </c>
      <c r="J12" t="str">
        <f>_xlfn.XLOOKUP(I12,$D$5:$D$18,$C$5:$C$18,"N/A",0)</f>
        <v>Mohd Y</v>
      </c>
    </row>
    <row r="13" spans="3:11" x14ac:dyDescent="0.3">
      <c r="C13" t="s">
        <v>11</v>
      </c>
      <c r="D13" s="3">
        <v>1666</v>
      </c>
      <c r="E13" s="5">
        <v>735280</v>
      </c>
      <c r="F13" s="5">
        <v>165438</v>
      </c>
      <c r="I13" s="3">
        <v>1190</v>
      </c>
      <c r="J13" t="str">
        <f t="shared" ref="J13:J15" si="0">_xlfn.XLOOKUP(I13,$D$5:$D$18,$C$5:$C$18,"N/A",0)</f>
        <v>Rajat L</v>
      </c>
    </row>
    <row r="14" spans="3:11" x14ac:dyDescent="0.3">
      <c r="C14" t="s">
        <v>12</v>
      </c>
      <c r="D14" s="3">
        <v>1255</v>
      </c>
      <c r="E14" s="5">
        <v>764439</v>
      </c>
      <c r="F14" s="5">
        <v>171998.77499999999</v>
      </c>
      <c r="I14" s="3">
        <v>1263</v>
      </c>
      <c r="J14" t="str">
        <f t="shared" si="0"/>
        <v>Chris G</v>
      </c>
    </row>
    <row r="15" spans="3:11" x14ac:dyDescent="0.3">
      <c r="C15" t="s">
        <v>13</v>
      </c>
      <c r="D15" s="3">
        <v>1352</v>
      </c>
      <c r="E15" s="5">
        <v>917987</v>
      </c>
      <c r="F15" s="5">
        <v>206547.07500000001</v>
      </c>
      <c r="H15" s="2"/>
      <c r="I15" s="3">
        <v>1334</v>
      </c>
      <c r="J15" t="str">
        <f t="shared" si="0"/>
        <v>Namit J</v>
      </c>
    </row>
    <row r="16" spans="3:11" x14ac:dyDescent="0.3">
      <c r="C16" t="s">
        <v>14</v>
      </c>
      <c r="D16" s="3">
        <v>1512</v>
      </c>
      <c r="E16" s="5">
        <v>778095</v>
      </c>
      <c r="F16" s="5">
        <v>175071.375</v>
      </c>
    </row>
    <row r="17" spans="3:9" x14ac:dyDescent="0.3">
      <c r="C17" t="s">
        <v>15</v>
      </c>
      <c r="D17" s="3">
        <v>1120</v>
      </c>
      <c r="E17" s="5">
        <v>963652</v>
      </c>
      <c r="F17" s="5">
        <v>216821.7</v>
      </c>
    </row>
    <row r="18" spans="3:9" x14ac:dyDescent="0.3">
      <c r="C18" t="s">
        <v>16</v>
      </c>
      <c r="D18" s="3">
        <v>1927</v>
      </c>
      <c r="E18" s="5">
        <v>709624</v>
      </c>
      <c r="F18" s="5">
        <v>159665.4</v>
      </c>
      <c r="H18" s="5">
        <v>218315.7</v>
      </c>
      <c r="I18" t="str">
        <f>INDEX($C$5:$F$18,MATCH(H18,$F$5:$F$18,0),MATCH($C$5,$C$5:$F$5,0))</f>
        <v>Kriya V</v>
      </c>
    </row>
    <row r="19" spans="3:9" x14ac:dyDescent="0.3">
      <c r="H19" s="5">
        <v>165438</v>
      </c>
      <c r="I19" t="str">
        <f t="shared" ref="I19:I21" si="1">INDEX($C$5:$F$18,MATCH(H19,$F$5:$F$18,0),MATCH($C$5,$C$5:$F$5,0))</f>
        <v>Rakesh B</v>
      </c>
    </row>
    <row r="20" spans="3:9" x14ac:dyDescent="0.3">
      <c r="H20" s="5">
        <v>206941.05000000002</v>
      </c>
      <c r="I20" t="str">
        <f t="shared" si="1"/>
        <v>Rajat L</v>
      </c>
    </row>
    <row r="21" spans="3:9" x14ac:dyDescent="0.3">
      <c r="H21" s="5">
        <v>159665.4</v>
      </c>
      <c r="I21" t="str">
        <f t="shared" si="1"/>
        <v>Nilesh 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F273-7F53-487F-8180-18C0890221C0}">
  <dimension ref="C2:P11"/>
  <sheetViews>
    <sheetView showGridLines="0" tabSelected="1" topLeftCell="B1" zoomScale="130" zoomScaleNormal="130" workbookViewId="0">
      <selection activeCell="F10" sqref="F10"/>
    </sheetView>
  </sheetViews>
  <sheetFormatPr defaultRowHeight="14.4" x14ac:dyDescent="0.3"/>
  <cols>
    <col min="3" max="3" width="12.109375" bestFit="1" customWidth="1"/>
    <col min="4" max="4" width="12" bestFit="1" customWidth="1"/>
    <col min="5" max="9" width="10.33203125" bestFit="1" customWidth="1"/>
    <col min="10" max="10" width="11" bestFit="1" customWidth="1"/>
    <col min="11" max="16" width="10.33203125" bestFit="1" customWidth="1"/>
  </cols>
  <sheetData>
    <row r="2" spans="3:16" x14ac:dyDescent="0.3">
      <c r="C2" t="s">
        <v>17</v>
      </c>
    </row>
    <row r="3" spans="3:16" x14ac:dyDescent="0.3">
      <c r="C3" s="1" t="s">
        <v>0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3:16" x14ac:dyDescent="0.3">
      <c r="C4" s="1" t="s">
        <v>1</v>
      </c>
      <c r="D4" s="3">
        <v>1190</v>
      </c>
      <c r="E4" s="3">
        <v>1334</v>
      </c>
      <c r="F4" s="3">
        <v>1631</v>
      </c>
      <c r="G4" s="3">
        <v>1163</v>
      </c>
      <c r="H4" s="3">
        <v>1454</v>
      </c>
      <c r="I4" s="3">
        <v>1263</v>
      </c>
      <c r="J4" s="3">
        <v>1767</v>
      </c>
      <c r="K4" s="3">
        <v>1666</v>
      </c>
      <c r="L4" s="3">
        <v>1255</v>
      </c>
      <c r="M4" s="3">
        <v>1352</v>
      </c>
      <c r="N4" s="3">
        <v>1512</v>
      </c>
      <c r="O4" s="3">
        <v>1120</v>
      </c>
      <c r="P4" s="3">
        <v>1927</v>
      </c>
    </row>
    <row r="5" spans="3:16" x14ac:dyDescent="0.3">
      <c r="C5" s="1" t="s">
        <v>3</v>
      </c>
      <c r="D5" s="5">
        <v>919738</v>
      </c>
      <c r="E5" s="5">
        <v>868450</v>
      </c>
      <c r="F5" s="5">
        <v>970292</v>
      </c>
      <c r="G5" s="5">
        <v>974125</v>
      </c>
      <c r="H5" s="5">
        <v>995086</v>
      </c>
      <c r="I5" s="5">
        <v>996563</v>
      </c>
      <c r="J5" s="5">
        <v>747511</v>
      </c>
      <c r="K5" s="5">
        <v>735280</v>
      </c>
      <c r="L5" s="5">
        <v>764439</v>
      </c>
      <c r="M5" s="5">
        <v>917987</v>
      </c>
      <c r="N5" s="5">
        <v>778095</v>
      </c>
      <c r="O5" s="5">
        <v>963652</v>
      </c>
      <c r="P5" s="5">
        <v>709624</v>
      </c>
    </row>
    <row r="6" spans="3:16" x14ac:dyDescent="0.3">
      <c r="C6" s="1" t="s">
        <v>2</v>
      </c>
      <c r="D6" s="5">
        <v>206941.05000000002</v>
      </c>
      <c r="E6" s="5">
        <v>195401.25</v>
      </c>
      <c r="F6" s="5">
        <v>218315.7</v>
      </c>
      <c r="G6" s="5">
        <v>219178.125</v>
      </c>
      <c r="H6" s="5">
        <v>223894.35</v>
      </c>
      <c r="I6" s="5">
        <v>224226.67500000002</v>
      </c>
      <c r="J6" s="6">
        <v>168189.97500000001</v>
      </c>
      <c r="K6" s="5">
        <v>165438</v>
      </c>
      <c r="L6" s="5">
        <v>171998.77499999999</v>
      </c>
      <c r="M6" s="5">
        <v>206547.07500000001</v>
      </c>
      <c r="N6" s="5">
        <v>175071.375</v>
      </c>
      <c r="O6" s="5">
        <v>216821.7</v>
      </c>
      <c r="P6" s="5">
        <v>159665.4</v>
      </c>
    </row>
    <row r="8" spans="3:16" x14ac:dyDescent="0.3">
      <c r="C8" s="1" t="s">
        <v>0</v>
      </c>
      <c r="D8" s="1" t="s">
        <v>2</v>
      </c>
    </row>
    <row r="9" spans="3:16" x14ac:dyDescent="0.3">
      <c r="C9" s="3" t="s">
        <v>4</v>
      </c>
      <c r="D9" s="5">
        <f>HLOOKUP(C9,$C$3:$P$6,MATCH($C$6,$C$3:$C$6,0),FALSE)</f>
        <v>206941.05000000002</v>
      </c>
      <c r="E9">
        <f>_xlfn.XLOOKUP(D9,$C$6:$P$6,$C$4:$P$4,"N/A",0)</f>
        <v>1190</v>
      </c>
    </row>
    <row r="10" spans="3:16" x14ac:dyDescent="0.3">
      <c r="C10" s="3" t="s">
        <v>6</v>
      </c>
      <c r="D10" s="5">
        <f t="shared" ref="D10:D11" si="0">HLOOKUP(C10,$C$3:$P$6,MATCH($C$6,$C$3:$C$6,0),FALSE)</f>
        <v>218315.7</v>
      </c>
      <c r="E10">
        <f t="shared" ref="E10:E11" si="1">_xlfn.XLOOKUP(D10,$C$6:$P$6,$C$4:$P$4,"N/A",0)</f>
        <v>1631</v>
      </c>
    </row>
    <row r="11" spans="3:16" x14ac:dyDescent="0.3">
      <c r="C11" s="3" t="s">
        <v>8</v>
      </c>
      <c r="D11" s="5">
        <f t="shared" si="0"/>
        <v>223894.35</v>
      </c>
      <c r="E11">
        <f t="shared" si="1"/>
        <v>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Verma</dc:creator>
  <cp:lastModifiedBy>sanket kudale</cp:lastModifiedBy>
  <dcterms:created xsi:type="dcterms:W3CDTF">2023-10-11T06:57:07Z</dcterms:created>
  <dcterms:modified xsi:type="dcterms:W3CDTF">2026-08-19T17:35:07Z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{FA3B27F2-9E52-40A5-BB57-C126BF0D8EE9}</vt:lpwstr>
  </property>
</Properties>
</file>