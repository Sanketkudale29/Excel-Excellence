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ket Kudale\Downloads\"/>
    </mc:Choice>
  </mc:AlternateContent>
  <xr:revisionPtr revIDLastSave="0" documentId="13_ncr:1_{ACDB094D-63F8-44F9-8A62-483DDCD9EE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PRODUCT STOCK REGISTER26-27" sheetId="1" r:id="rId1"/>
    <sheet name="KALONJ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2" l="1"/>
  <c r="I53" i="2"/>
  <c r="G53" i="2"/>
  <c r="T141" i="1"/>
  <c r="T140" i="1"/>
  <c r="T139" i="1"/>
  <c r="T138" i="1"/>
  <c r="AF134" i="1"/>
  <c r="AF136" i="1" s="1"/>
  <c r="T133" i="1"/>
  <c r="T132" i="1"/>
  <c r="T125" i="1"/>
  <c r="T124" i="1"/>
  <c r="T123" i="1"/>
  <c r="T122" i="1"/>
  <c r="T121" i="1"/>
  <c r="AF118" i="1"/>
  <c r="AF135" i="1" s="1"/>
  <c r="AF117" i="1"/>
  <c r="T113" i="1"/>
  <c r="T112" i="1"/>
  <c r="T111" i="1"/>
  <c r="T110" i="1"/>
  <c r="T109" i="1"/>
  <c r="T108" i="1"/>
  <c r="T107" i="1"/>
  <c r="T106" i="1"/>
  <c r="T105" i="1"/>
  <c r="AF105" i="1" s="1"/>
  <c r="AF110" i="1" s="1"/>
  <c r="AF113" i="1" s="1"/>
  <c r="AF124" i="1" s="1"/>
  <c r="AF133" i="1" s="1"/>
  <c r="AF139" i="1" s="1"/>
  <c r="T104" i="1"/>
  <c r="AF96" i="1"/>
  <c r="T95" i="1"/>
  <c r="T94" i="1"/>
  <c r="AF80" i="1"/>
  <c r="AF98" i="1" s="1"/>
  <c r="T79" i="1"/>
  <c r="T78" i="1"/>
  <c r="T77" i="1"/>
  <c r="AF69" i="1"/>
  <c r="AF100" i="1" s="1"/>
  <c r="T68" i="1"/>
  <c r="T67" i="1"/>
  <c r="T66" i="1"/>
  <c r="AF63" i="1"/>
  <c r="AF64" i="1" s="1"/>
  <c r="AF73" i="1" s="1"/>
  <c r="AF103" i="1" s="1"/>
  <c r="AF131" i="1" s="1"/>
  <c r="AF148" i="1" s="1"/>
  <c r="AF60" i="1"/>
  <c r="AF58" i="1"/>
  <c r="AF92" i="1" s="1"/>
  <c r="AF52" i="1"/>
  <c r="AF115" i="1" s="1"/>
  <c r="T47" i="1"/>
  <c r="T46" i="1"/>
  <c r="T43" i="1"/>
  <c r="T42" i="1"/>
  <c r="T41" i="1"/>
  <c r="T40" i="1"/>
  <c r="T39" i="1"/>
  <c r="T38" i="1"/>
  <c r="T37" i="1"/>
  <c r="AF36" i="1"/>
  <c r="T35" i="1"/>
  <c r="T34" i="1"/>
  <c r="T33" i="1"/>
  <c r="T32" i="1"/>
  <c r="AF29" i="1"/>
  <c r="AF28" i="1"/>
  <c r="AF93" i="1" s="1"/>
  <c r="T25" i="1"/>
  <c r="T24" i="1"/>
  <c r="T23" i="1"/>
  <c r="AF22" i="1"/>
  <c r="AF20" i="1"/>
  <c r="AF19" i="1"/>
  <c r="T16" i="1"/>
  <c r="AF16" i="1" s="1"/>
  <c r="AF23" i="1" s="1"/>
  <c r="AF37" i="1" s="1"/>
  <c r="AF79" i="1" s="1"/>
  <c r="T15" i="1"/>
  <c r="T14" i="1"/>
  <c r="AF14" i="1" s="1"/>
  <c r="AF21" i="1" s="1"/>
  <c r="AF25" i="1" s="1"/>
  <c r="AF33" i="1" s="1"/>
  <c r="AF34" i="1" s="1"/>
  <c r="AF35" i="1" s="1"/>
  <c r="AF38" i="1" s="1"/>
  <c r="AF39" i="1" s="1"/>
  <c r="AF40" i="1" s="1"/>
  <c r="AF43" i="1" s="1"/>
  <c r="AF44" i="1" s="1"/>
  <c r="AF46" i="1" s="1"/>
  <c r="AF47" i="1" s="1"/>
  <c r="AF48" i="1" s="1"/>
  <c r="AF61" i="1" s="1"/>
  <c r="AF67" i="1" s="1"/>
  <c r="AF68" i="1" s="1"/>
  <c r="AF76" i="1" s="1"/>
  <c r="AF77" i="1" s="1"/>
  <c r="AF78" i="1" s="1"/>
  <c r="AF81" i="1" s="1"/>
  <c r="AF86" i="1" s="1"/>
  <c r="AF94" i="1" s="1"/>
  <c r="AF95" i="1" s="1"/>
  <c r="AF99" i="1" s="1"/>
  <c r="AF104" i="1" s="1"/>
  <c r="AF106" i="1" s="1"/>
  <c r="AF107" i="1" s="1"/>
  <c r="AF108" i="1" s="1"/>
  <c r="AF112" i="1" s="1"/>
  <c r="AF116" i="1" s="1"/>
  <c r="AF120" i="1" s="1"/>
  <c r="AF123" i="1" s="1"/>
  <c r="AF126" i="1" s="1"/>
  <c r="AF128" i="1" s="1"/>
  <c r="AF137" i="1" s="1"/>
  <c r="AF150" i="1" s="1"/>
  <c r="T13" i="1"/>
  <c r="AF13" i="1" s="1"/>
  <c r="AF15" i="1" s="1"/>
  <c r="AF24" i="1" s="1"/>
  <c r="AF32" i="1" s="1"/>
  <c r="AF41" i="1" s="1"/>
  <c r="AF42" i="1" s="1"/>
  <c r="AF66" i="1" s="1"/>
  <c r="AF82" i="1" s="1"/>
  <c r="AF109" i="1" s="1"/>
  <c r="AF111" i="1" s="1"/>
  <c r="AF119" i="1" s="1"/>
  <c r="AF121" i="1" s="1"/>
  <c r="AF122" i="1" s="1"/>
  <c r="AF125" i="1" s="1"/>
  <c r="AF132" i="1" s="1"/>
  <c r="AF138" i="1" s="1"/>
  <c r="AF12" i="1"/>
  <c r="AF11" i="1"/>
  <c r="AF10" i="1"/>
  <c r="AF6" i="1"/>
  <c r="AF7" i="1" s="1"/>
  <c r="AF8" i="1" s="1"/>
  <c r="AF9" i="1" s="1"/>
  <c r="AF18" i="1" s="1"/>
  <c r="AF26" i="1" s="1"/>
  <c r="AF27" i="1" s="1"/>
  <c r="AF30" i="1" s="1"/>
  <c r="AF45" i="1" s="1"/>
  <c r="AF49" i="1" s="1"/>
  <c r="AF50" i="1" s="1"/>
  <c r="AF51" i="1" s="1"/>
  <c r="AF70" i="1" s="1"/>
  <c r="AF74" i="1" s="1"/>
  <c r="AF83" i="1" s="1"/>
  <c r="AF84" i="1" s="1"/>
  <c r="AF85" i="1" s="1"/>
  <c r="AF88" i="1" s="1"/>
  <c r="AF89" i="1" s="1"/>
  <c r="AF90" i="1" s="1"/>
  <c r="AF91" i="1" s="1"/>
  <c r="AF97" i="1" s="1"/>
  <c r="AF114" i="1" s="1"/>
  <c r="AF127" i="1" s="1"/>
  <c r="AF142" i="1" s="1"/>
  <c r="AF143" i="1" s="1"/>
  <c r="AF144" i="1" s="1"/>
  <c r="AF145" i="1" s="1"/>
  <c r="AF5" i="1"/>
  <c r="AF3" i="1"/>
  <c r="AF4" i="1" s="1"/>
  <c r="AF17" i="1" s="1"/>
  <c r="AF31" i="1" s="1"/>
  <c r="AF53" i="1" s="1"/>
  <c r="AF54" i="1" s="1"/>
  <c r="AF55" i="1" s="1"/>
  <c r="AF56" i="1" s="1"/>
  <c r="AF57" i="1" s="1"/>
  <c r="AF59" i="1" s="1"/>
  <c r="AF62" i="1" s="1"/>
  <c r="AF65" i="1" s="1"/>
  <c r="AF71" i="1" s="1"/>
  <c r="AF72" i="1" s="1"/>
  <c r="AF75" i="1" s="1"/>
  <c r="AF87" i="1" s="1"/>
  <c r="AF101" i="1" s="1"/>
  <c r="AF102" i="1" s="1"/>
  <c r="AF129" i="1" s="1"/>
  <c r="AF130" i="1" s="1"/>
  <c r="AF146" i="1" s="1"/>
  <c r="AF147" i="1" s="1"/>
  <c r="F53" i="2"/>
  <c r="G34" i="2"/>
  <c r="F34" i="2"/>
  <c r="E34" i="2"/>
  <c r="AF149" i="1" l="1"/>
  <c r="AF140" i="1"/>
  <c r="AF141" i="1" s="1"/>
</calcChain>
</file>

<file path=xl/sharedStrings.xml><?xml version="1.0" encoding="utf-8"?>
<sst xmlns="http://schemas.openxmlformats.org/spreadsheetml/2006/main" count="1283" uniqueCount="500">
  <si>
    <t>INWARD</t>
  </si>
  <si>
    <t>SL NO</t>
  </si>
  <si>
    <t>DATE</t>
  </si>
  <si>
    <t>SUPPLIER</t>
  </si>
  <si>
    <t xml:space="preserve">INVOICE NO </t>
  </si>
  <si>
    <t>BAGS</t>
  </si>
  <si>
    <t>QUT. MT</t>
  </si>
  <si>
    <t>RATE</t>
  </si>
  <si>
    <t>JALARAM CORPORATION</t>
  </si>
  <si>
    <t>JC/283</t>
  </si>
  <si>
    <t>JC/290</t>
  </si>
  <si>
    <t>JC/295</t>
  </si>
  <si>
    <t>JC/302</t>
  </si>
  <si>
    <t>JC/7</t>
  </si>
  <si>
    <t>JC/10</t>
  </si>
  <si>
    <t>JC/13</t>
  </si>
  <si>
    <t>JC/15</t>
  </si>
  <si>
    <t>JC/16</t>
  </si>
  <si>
    <t>JC/17</t>
  </si>
  <si>
    <t>JC/23</t>
  </si>
  <si>
    <t>JC/24</t>
  </si>
  <si>
    <t>JC/27</t>
  </si>
  <si>
    <t>JC/33</t>
  </si>
  <si>
    <t>JC/34</t>
  </si>
  <si>
    <t>JC/35</t>
  </si>
  <si>
    <t>JC/39</t>
  </si>
  <si>
    <t>JC/41</t>
  </si>
  <si>
    <t>JC/42</t>
  </si>
  <si>
    <t>JC/46</t>
  </si>
  <si>
    <t>JC/47</t>
  </si>
  <si>
    <t>JC/48</t>
  </si>
  <si>
    <t>JC/49</t>
  </si>
  <si>
    <t>JC/51</t>
  </si>
  <si>
    <t>JC/57</t>
  </si>
  <si>
    <t>JC/59</t>
  </si>
  <si>
    <t>JC/60</t>
  </si>
  <si>
    <t>JC/64</t>
  </si>
  <si>
    <t>JC/70</t>
  </si>
  <si>
    <t>JC/76</t>
  </si>
  <si>
    <t>JC/87</t>
  </si>
  <si>
    <t>TOTAL</t>
  </si>
  <si>
    <t>OUTWARD</t>
  </si>
  <si>
    <t>BUYER</t>
  </si>
  <si>
    <t>INVOICE NO</t>
  </si>
  <si>
    <t>PACKING</t>
  </si>
  <si>
    <t>TRANSPORT</t>
  </si>
  <si>
    <t>TD BEREKAT CO., LTD</t>
  </si>
  <si>
    <t>DE/EXP/006/26-27</t>
  </si>
  <si>
    <t>RASHI INDUSTRIES</t>
  </si>
  <si>
    <t>4/2026-27</t>
  </si>
  <si>
    <t>"KOLVY" LLC</t>
  </si>
  <si>
    <t>DE/EXP/016/26-27</t>
  </si>
  <si>
    <t>YASHWANT TRADING COMPANY</t>
  </si>
  <si>
    <t>9/2026-27</t>
  </si>
  <si>
    <t>GANESH INDUSTRIES</t>
  </si>
  <si>
    <t>11/2026-27</t>
  </si>
  <si>
    <t>DE/EXP/010/26-27</t>
  </si>
  <si>
    <t>UGAGRO, LTD</t>
  </si>
  <si>
    <t>DE/EXP/009/26-27</t>
  </si>
  <si>
    <t>JIMMY &amp; SONS FOODS LLP</t>
  </si>
  <si>
    <t>16/2026-27</t>
  </si>
  <si>
    <t>ASIAN FOODS</t>
  </si>
  <si>
    <t>0/2026-27</t>
  </si>
  <si>
    <t>MOLVI JADDAH</t>
  </si>
  <si>
    <t>FG STOCK</t>
  </si>
  <si>
    <t>RM 2</t>
  </si>
  <si>
    <t>N/A</t>
  </si>
  <si>
    <t>REJECTION</t>
  </si>
  <si>
    <t>PROCESS LOSS</t>
  </si>
  <si>
    <t>ARRIVAL NO.</t>
  </si>
  <si>
    <t>OUTWARD NO.</t>
  </si>
  <si>
    <t>VEHICLE NO. IN/OUT</t>
  </si>
  <si>
    <t>CONTAINER NO</t>
  </si>
  <si>
    <t>SHIPPER SEAL NO</t>
  </si>
  <si>
    <t>INVOICE NO. IN/OUT</t>
  </si>
  <si>
    <t>RATE PER KGS</t>
  </si>
  <si>
    <t>INVOICE AMOUNT RS/USD -IN/OUT</t>
  </si>
  <si>
    <t>CONTRACT NO. IN/OUT</t>
  </si>
  <si>
    <t>SUPPLIER/BUYER</t>
  </si>
  <si>
    <t>ORIGIN</t>
  </si>
  <si>
    <t>PRODUCT NAME</t>
  </si>
  <si>
    <t>GRADE/QUALITY</t>
  </si>
  <si>
    <t>QUALITY FG/RAW</t>
  </si>
  <si>
    <t>INWARD STOCK</t>
  </si>
  <si>
    <t>OUTWARD STOCK</t>
  </si>
  <si>
    <t>REMARKS</t>
  </si>
  <si>
    <t>STOCK</t>
  </si>
  <si>
    <t>KGS</t>
  </si>
  <si>
    <t>BAGS WT. LESS KG/GM</t>
  </si>
  <si>
    <t>W/B WT.</t>
  </si>
  <si>
    <t>TOTAL NET WT.</t>
  </si>
  <si>
    <t>BAGS/CARTONS</t>
  </si>
  <si>
    <t>BAGS/CARTONS WT. LESS KGS</t>
  </si>
  <si>
    <t>TOTAL NET WT. FG</t>
  </si>
  <si>
    <t>TOTAL NET WT. SORTEX REJECTION</t>
  </si>
  <si>
    <t>TOTAL NET WT. MANA LIGHT SEEDS</t>
  </si>
  <si>
    <t>TOTAL NET WT. RM2</t>
  </si>
  <si>
    <t>TOTAL NET WT.NON SELABLE</t>
  </si>
  <si>
    <t>TOTAL NET WT. PROCESS LOSS</t>
  </si>
  <si>
    <t>TOTAL NET WT IN STOCK.</t>
  </si>
  <si>
    <t>BUYERS LOT NO.</t>
  </si>
  <si>
    <t>RM INVOICE NO</t>
  </si>
  <si>
    <t>EXPORT INVOICE  NO</t>
  </si>
  <si>
    <t>USED BATCH REPORT NO.</t>
  </si>
  <si>
    <t>BALANCE RAW MATERIAL</t>
  </si>
  <si>
    <t>FINISH GOODS</t>
  </si>
  <si>
    <t>RM NO 2</t>
  </si>
  <si>
    <t>LIGHT SEEDS</t>
  </si>
  <si>
    <t>NON SELABLE</t>
  </si>
  <si>
    <t>001-FG-26-27</t>
  </si>
  <si>
    <t>GJ-12-BY-0488</t>
  </si>
  <si>
    <t>AKKU2024327</t>
  </si>
  <si>
    <t>SPPL40810866</t>
  </si>
  <si>
    <t>DE/EXP/004/26-27</t>
  </si>
  <si>
    <t>SPECIFICATION NO 18542 DTD 20.01.2026 TO THE CONTRACT NO DK-I-0425 DTD 10.04.2025</t>
  </si>
  <si>
    <t>THANE (MH)</t>
  </si>
  <si>
    <t xml:space="preserve">RED CHILLY POWDER </t>
  </si>
  <si>
    <t>RED CHILLY POWDER 1ST GRADE (MB CONTROL) ASTA-50 SHU-30000</t>
  </si>
  <si>
    <t>002-FG-26-27</t>
  </si>
  <si>
    <t>GJ-12-BW-0362</t>
  </si>
  <si>
    <t>CAAU2738749</t>
  </si>
  <si>
    <t>SPPL40810867</t>
  </si>
  <si>
    <t>DE/EXP/005/26-27</t>
  </si>
  <si>
    <t>SPECIFICATION NO 18797 DTD 13.02.2026 TO THE CONTRACT NO DK-I-0425 DTD 10.04.2025</t>
  </si>
  <si>
    <t>SANGLI (MH)</t>
  </si>
  <si>
    <t>RED CHILLY POWDER SUPERIOR GRADE (MB CONTROL) ASTA-100 SHU-30000</t>
  </si>
  <si>
    <t>003-FG-26-27</t>
  </si>
  <si>
    <t>GJ-12-BV-1065</t>
  </si>
  <si>
    <t>MODU0022569</t>
  </si>
  <si>
    <t>SPPL40810868</t>
  </si>
  <si>
    <t>DE/EXP/001/26-27</t>
  </si>
  <si>
    <t>CONTRACT NO JTL-DK-2026 DATED 10.03.2026</t>
  </si>
  <si>
    <t>OJSC ROT FRONT</t>
  </si>
  <si>
    <t>JUNAGHADH (GJ)</t>
  </si>
  <si>
    <t>NATURAL SESAME SEEDS</t>
  </si>
  <si>
    <t>COUNT/3gm 970 Seeds/3gm  </t>
  </si>
  <si>
    <t>004-FG-26-27</t>
  </si>
  <si>
    <t>GJ-39-TA-3256</t>
  </si>
  <si>
    <t>CAIU8272012</t>
  </si>
  <si>
    <t>SPPL40810869</t>
  </si>
  <si>
    <t>DE/EXP/003/26-27</t>
  </si>
  <si>
    <t>ADDITIONAL AGREEMENT NO UA26-029 DD 27.02.2026 TO CONTRACT NO UAG/DEP/2024INR DD 25.11.2024</t>
  </si>
  <si>
    <t>TURMERIC POWDER</t>
  </si>
  <si>
    <t>TURMERIC POWDER 1.00% CURCUMINE</t>
  </si>
  <si>
    <t>TURMERIC POWDER 2.00% CURCUMINE</t>
  </si>
  <si>
    <t>THANE (MH)/SANGLI (MH)</t>
  </si>
  <si>
    <t>TURMERIC POWDER 3.00% CURCUMINE</t>
  </si>
  <si>
    <t>TURMERIC POWDER 4.00% CURCUMINE</t>
  </si>
  <si>
    <t>IDUKKI (KL)</t>
  </si>
  <si>
    <t>DEHYDRATED GREEN PEPPER</t>
  </si>
  <si>
    <t>DGP</t>
  </si>
  <si>
    <t>COCHIN (KL)</t>
  </si>
  <si>
    <t>NUTMEG</t>
  </si>
  <si>
    <t>BWP</t>
  </si>
  <si>
    <t>NM BWP</t>
  </si>
  <si>
    <t>ABCD</t>
  </si>
  <si>
    <t>NM ABCD</t>
  </si>
  <si>
    <t>001-RM-26-27</t>
  </si>
  <si>
    <t>GJ-21-V-1749</t>
  </si>
  <si>
    <t>JC/4</t>
  </si>
  <si>
    <t>99/1/1</t>
  </si>
  <si>
    <t xml:space="preserve">RAW MATERIAL </t>
  </si>
  <si>
    <t>002-RM-26-27</t>
  </si>
  <si>
    <t>GJ-23-AT-9312</t>
  </si>
  <si>
    <t>GONDAL (GJ)</t>
  </si>
  <si>
    <t>NIGELLA SEEDS (KALONJI)</t>
  </si>
  <si>
    <t>RNS</t>
  </si>
  <si>
    <t>JC/8</t>
  </si>
  <si>
    <t>003-RM-26-27</t>
  </si>
  <si>
    <t>GJ-12-AT-5502</t>
  </si>
  <si>
    <t>JCR1</t>
  </si>
  <si>
    <t>CHICK PEAS (KABULI CHANA)</t>
  </si>
  <si>
    <t>REGULAR</t>
  </si>
  <si>
    <t>005-FG-26-27</t>
  </si>
  <si>
    <t>GJ-12-BX-3176</t>
  </si>
  <si>
    <t>MSNU5569598</t>
  </si>
  <si>
    <t>SPPL40810870</t>
  </si>
  <si>
    <t>DELIVERY SPECIFICATION NO 1 OF 27.02.2026 TO THE CONTRACT NO DEEP/BER/2025 OF 20TH NOVEMBER 2025</t>
  </si>
  <si>
    <t>"TD BEREKAT" CO., LTD</t>
  </si>
  <si>
    <t>SANGLI (MH)/NAVI MUMBAI (MH)</t>
  </si>
  <si>
    <t>RED CHILLY POWDER 1ST GRADE ASTA-50 SHU-3000</t>
  </si>
  <si>
    <t>TURMERIC POWDER 2.50% CURCUMINE</t>
  </si>
  <si>
    <t>NEEMUCH (MP)</t>
  </si>
  <si>
    <t>FENUGREEK SEEDS</t>
  </si>
  <si>
    <t>SORTEX GRADE</t>
  </si>
  <si>
    <t>RAJKOT (GJ)</t>
  </si>
  <si>
    <t>CUMIN SEEDS</t>
  </si>
  <si>
    <t>SINGAPOR QUALITY</t>
  </si>
  <si>
    <t>CS</t>
  </si>
  <si>
    <t>DOUBEL SORTEX PURITY 99.90%</t>
  </si>
  <si>
    <t>FNS</t>
  </si>
  <si>
    <t>RED CHILLY CRUSHED</t>
  </si>
  <si>
    <t>CRUSHED 3-5 MM</t>
  </si>
  <si>
    <t>004-RM-26-27</t>
  </si>
  <si>
    <t>JCR2</t>
  </si>
  <si>
    <t>JC/9</t>
  </si>
  <si>
    <t>005-RM-26-27</t>
  </si>
  <si>
    <t>MH-10-DT-2131</t>
  </si>
  <si>
    <t>TBI/25-26/S-4</t>
  </si>
  <si>
    <t>TBI CORN LIMITED</t>
  </si>
  <si>
    <t>1.50% CURCUMINE</t>
  </si>
  <si>
    <t>TURMERIC FINGER</t>
  </si>
  <si>
    <t>2.50% CURCUMINE</t>
  </si>
  <si>
    <t>006-RM-26-27</t>
  </si>
  <si>
    <t>TN-52-AF-5357</t>
  </si>
  <si>
    <t>VALARMATHI SPICES AND SEASONINGS</t>
  </si>
  <si>
    <t>NAMAKKAL (TN)</t>
  </si>
  <si>
    <t>006-FG-26-27</t>
  </si>
  <si>
    <t>GJ-12-BX-3189</t>
  </si>
  <si>
    <t>VRZU1084947</t>
  </si>
  <si>
    <t>SPPL40810871</t>
  </si>
  <si>
    <t>DE/EXP/007/26-27</t>
  </si>
  <si>
    <t>SUPPLEMENT NO 69 OF 17.02.2026 TO THE CONTRACT NO 114/2022/356 OF 17.05.2022</t>
  </si>
  <si>
    <t>COMINTRADE LLC,</t>
  </si>
  <si>
    <t>RED CHILLY POWDER 1ST GRADE STERILIZED ASTA-50 SHU-3000</t>
  </si>
  <si>
    <t>007-RM-26-27</t>
  </si>
  <si>
    <t>GJ-03-BV-5159</t>
  </si>
  <si>
    <t>JC/12</t>
  </si>
  <si>
    <t>008-RM-26-27</t>
  </si>
  <si>
    <t>GJ-03-AX-8805</t>
  </si>
  <si>
    <t>009-RM-26-27</t>
  </si>
  <si>
    <t>GJ-04-AT-1572</t>
  </si>
  <si>
    <t>BOS/3</t>
  </si>
  <si>
    <t>DE/EXP/PUR/KL/006/26-27</t>
  </si>
  <si>
    <t>NAF FOOD INGREDIENTS</t>
  </si>
  <si>
    <t>MAHUVA (GJ)</t>
  </si>
  <si>
    <t>DEHYDRATED WHITE ONION</t>
  </si>
  <si>
    <t>MINCED 3-5 MM</t>
  </si>
  <si>
    <t>010-RM-26-27</t>
  </si>
  <si>
    <t>GJ-14-X-1593</t>
  </si>
  <si>
    <t>JCR/4</t>
  </si>
  <si>
    <t>011-RM-26-27</t>
  </si>
  <si>
    <t>GJ-03-AT-0015</t>
  </si>
  <si>
    <t>JC/25</t>
  </si>
  <si>
    <t>012-RM-26-27</t>
  </si>
  <si>
    <t>GJ-03-BY-4569</t>
  </si>
  <si>
    <t>JC/26</t>
  </si>
  <si>
    <t>013-RM-26-27</t>
  </si>
  <si>
    <t>007-FG-26-27</t>
  </si>
  <si>
    <t>GJ-12-BW-0350</t>
  </si>
  <si>
    <t>VRZU1249939</t>
  </si>
  <si>
    <t>SPPL40810872</t>
  </si>
  <si>
    <t>DE/EXP/008/26-27</t>
  </si>
  <si>
    <t>CONTRACT NO 70 OF 17.02.2026 TO THE CONTRACT NO 114/2022/356 OF 17.05.2022</t>
  </si>
  <si>
    <t>SANGLI (MH)/ THANE (MH)</t>
  </si>
  <si>
    <t>TURMERIC POWDER 1.50% CURCUMINE STERILIZED</t>
  </si>
  <si>
    <t>014-RM-26-27</t>
  </si>
  <si>
    <t>GJ-03-AT-1085</t>
  </si>
  <si>
    <t>008-FG-26-27</t>
  </si>
  <si>
    <t>GJ-12-AW-5434</t>
  </si>
  <si>
    <t>SINGAL SORTEX PURITY 99.90%</t>
  </si>
  <si>
    <t>015-RM-26-27</t>
  </si>
  <si>
    <t>MH-10-Q-7025</t>
  </si>
  <si>
    <t>ANSH ENTERPRISES</t>
  </si>
  <si>
    <t>016-RM-26-27</t>
  </si>
  <si>
    <t>RJ-07-GC-8303</t>
  </si>
  <si>
    <t>KU26-27/22</t>
  </si>
  <si>
    <t>KANAK UDHYOG</t>
  </si>
  <si>
    <t>BEDAWARI (RJ)</t>
  </si>
  <si>
    <t>DILL SEEDS</t>
  </si>
  <si>
    <t>FAQ QUALITY</t>
  </si>
  <si>
    <t>017-RM-26-27</t>
  </si>
  <si>
    <t>KA-03-AJ-5499</t>
  </si>
  <si>
    <t>TBI/26-27/S-96</t>
  </si>
  <si>
    <t>1ST GRADE ASTA-80 SHU-30000</t>
  </si>
  <si>
    <t>1ST GRADE ASTA-30-40 SHU-20000</t>
  </si>
  <si>
    <t>1ST GRADE ASTA-50-60 SHU-20000</t>
  </si>
  <si>
    <t>018-RM-26-27</t>
  </si>
  <si>
    <t>KA-01-AG-8568</t>
  </si>
  <si>
    <t>TBI/26-27/S-95</t>
  </si>
  <si>
    <t>019-RM-26-27</t>
  </si>
  <si>
    <t>GJ-12-BW-9476</t>
  </si>
  <si>
    <t>SP/020/26-27</t>
  </si>
  <si>
    <t>SHAGUN SPICES</t>
  </si>
  <si>
    <t>SUPERIOR GRADE ASTA-100 SHU-30000</t>
  </si>
  <si>
    <t>CURRY POWDER</t>
  </si>
  <si>
    <t>MADRAS QUALITY</t>
  </si>
  <si>
    <t>020-RM-26-27</t>
  </si>
  <si>
    <t>GJ-27-GE-4687</t>
  </si>
  <si>
    <t>NV ENTERPRISES</t>
  </si>
  <si>
    <t>CHIA SEEDS</t>
  </si>
  <si>
    <t>DOUBLE SORTEX PURITY 99.50%</t>
  </si>
  <si>
    <t>021-RM-26-27</t>
  </si>
  <si>
    <t>022-RM-26-27</t>
  </si>
  <si>
    <t>KA-17-D-6525</t>
  </si>
  <si>
    <t>TBI/26-27/S-103</t>
  </si>
  <si>
    <t>023-RM-26-27</t>
  </si>
  <si>
    <t>GJ-19-U-0434</t>
  </si>
  <si>
    <t>JC/40</t>
  </si>
  <si>
    <t>024-RM-26-27</t>
  </si>
  <si>
    <t>GJ-03-BW-6658</t>
  </si>
  <si>
    <t>2026-2027/39</t>
  </si>
  <si>
    <t>DE/EXP/PUR/KL/005/26-27</t>
  </si>
  <si>
    <t>MARIYAN AGENCIES</t>
  </si>
  <si>
    <t>GREEN CARDAMOM</t>
  </si>
  <si>
    <t>6-7 MM</t>
  </si>
  <si>
    <t>025-RM-26-27</t>
  </si>
  <si>
    <t>MH-51-C-2599</t>
  </si>
  <si>
    <t>1.00% CURCUMINE</t>
  </si>
  <si>
    <t>026-RM-26-27</t>
  </si>
  <si>
    <t>GJ-12-BY-6503</t>
  </si>
  <si>
    <t>LSK/26-27/9</t>
  </si>
  <si>
    <t>LOTUS SPICES</t>
  </si>
  <si>
    <t>BAGALKOTE (KA)</t>
  </si>
  <si>
    <t>1ST GRADE ASTA-50-60 SHU-30000</t>
  </si>
  <si>
    <t>09-FG-26-27</t>
  </si>
  <si>
    <t>08/2026-27</t>
  </si>
  <si>
    <t>ALSPICES</t>
  </si>
  <si>
    <t>027-RM-26-27</t>
  </si>
  <si>
    <t>KA-27-C-8032</t>
  </si>
  <si>
    <t>TBI/26-27/S-179</t>
  </si>
  <si>
    <t>010-FG-26-27</t>
  </si>
  <si>
    <t>GJ-12-BX-0251</t>
  </si>
  <si>
    <t>TRHU3523555</t>
  </si>
  <si>
    <t>SPPL40810873</t>
  </si>
  <si>
    <t>SPECIFICATION ID NO 19251 DD 17.04.2026 TO CONTRACT NO DK-I-0415 DD 10.04.2025</t>
  </si>
  <si>
    <t>028-RM-26-27</t>
  </si>
  <si>
    <t>JCR/7</t>
  </si>
  <si>
    <t>CP</t>
  </si>
  <si>
    <t>029-RM-26-27</t>
  </si>
  <si>
    <t>GJ-03-AT-4198</t>
  </si>
  <si>
    <t>GI-45-26-27</t>
  </si>
  <si>
    <t>AUM AGRI IMPEX</t>
  </si>
  <si>
    <t>011-FG-26-27</t>
  </si>
  <si>
    <t>GJ-03-BW-2825</t>
  </si>
  <si>
    <t>DOUBLE SORTEX PURITY 99.90%</t>
  </si>
  <si>
    <t>012-FG-26-27</t>
  </si>
  <si>
    <t>GJ-12-BV-1582</t>
  </si>
  <si>
    <t>ATDU4014700</t>
  </si>
  <si>
    <t>SPPL40810874</t>
  </si>
  <si>
    <t>DE/EXP/002/26-27</t>
  </si>
  <si>
    <t>COUNT/3gm 980 Seeds/3gm  </t>
  </si>
  <si>
    <t>NWSS</t>
  </si>
  <si>
    <t>030-RM-26-27</t>
  </si>
  <si>
    <t>MH-04-CP-7150</t>
  </si>
  <si>
    <t>SP/025/26-27</t>
  </si>
  <si>
    <t>013-FG-26-27</t>
  </si>
  <si>
    <t>GJ-12-BY-8659</t>
  </si>
  <si>
    <t>014-FG-26-27</t>
  </si>
  <si>
    <t>GJ-12-BV-8650</t>
  </si>
  <si>
    <t>FITU5650683</t>
  </si>
  <si>
    <t>SPPL40810875</t>
  </si>
  <si>
    <t>DE/EXP/017/26-27</t>
  </si>
  <si>
    <t>*FERUZA LINE* LTD.,</t>
  </si>
  <si>
    <t>SANGLI (MH) / NAMAKKAL (TN)</t>
  </si>
  <si>
    <t xml:space="preserve">TURMERIC POWDER 1.50% CURCUMINE </t>
  </si>
  <si>
    <t xml:space="preserve">TURMERIC POWDER 2.50% CURCUMINE </t>
  </si>
  <si>
    <t>015-FG-26-27</t>
  </si>
  <si>
    <t>MSDU8365366</t>
  </si>
  <si>
    <t>SPPL40810876</t>
  </si>
  <si>
    <t>DE/EXP/015/26-27</t>
  </si>
  <si>
    <t>SUPPLEMENT NO 71 OF 17.02.2026 TO THE CONTRACT NO 114/2022/356 OF 17.05.2022</t>
  </si>
  <si>
    <t xml:space="preserve">SANGLI (MH) </t>
  </si>
  <si>
    <t>TURMERIC POWDER 1.50% CURCUMINE YELLOW COLOUR STERILIZED</t>
  </si>
  <si>
    <t>CURRY P</t>
  </si>
  <si>
    <t>TURMERIC FINGER DRIED 3.50% CURCUMINE</t>
  </si>
  <si>
    <t>TF</t>
  </si>
  <si>
    <t>031-RM-26-27</t>
  </si>
  <si>
    <t>GJ-04-AX-5100</t>
  </si>
  <si>
    <t>016-FG-26-27</t>
  </si>
  <si>
    <t>HLHU8345160</t>
  </si>
  <si>
    <t>SPPL40810878</t>
  </si>
  <si>
    <t>SPECIFICATION ID NO 19208 DD 10.04.2026 TO CONTRACT NO DK-I-0425 DD 10.04.2025</t>
  </si>
  <si>
    <t>GRANULES 1-3 MM</t>
  </si>
  <si>
    <t>DWO</t>
  </si>
  <si>
    <t>TURMERIC POWDER 1.50% CURCUMINE (MB CONTROL)</t>
  </si>
  <si>
    <t>FS</t>
  </si>
  <si>
    <t>GC</t>
  </si>
  <si>
    <t>017-FG-26-27</t>
  </si>
  <si>
    <t>GJ-39-TA-6558</t>
  </si>
  <si>
    <t>SKLU1119146</t>
  </si>
  <si>
    <t>SPPL40810877</t>
  </si>
  <si>
    <t>DE/EXP/011/26-27</t>
  </si>
  <si>
    <t>SPECIFICATION ID 19225 DD 13.04.2026 TO THE CONTRACT NO DK-I-0425 DTD 10.04.2025</t>
  </si>
  <si>
    <t>RED CHILLY CRUSHED DRIED 3-5 MM (MB CONTROL)</t>
  </si>
  <si>
    <t>032-RM-26-27</t>
  </si>
  <si>
    <t>GJ-03-CU-6508</t>
  </si>
  <si>
    <t>033-RM-26-27</t>
  </si>
  <si>
    <t>GJ-23-V-9072</t>
  </si>
  <si>
    <t>JC/56</t>
  </si>
  <si>
    <t>BLACK SESAME SEEDS</t>
  </si>
  <si>
    <t>034-RM-26-27</t>
  </si>
  <si>
    <t>035-RM-26-27</t>
  </si>
  <si>
    <t>GJ-03-W-7798</t>
  </si>
  <si>
    <t>JC/61</t>
  </si>
  <si>
    <t>JC/62</t>
  </si>
  <si>
    <t>036-RM-26-27</t>
  </si>
  <si>
    <t>JC/63</t>
  </si>
  <si>
    <t>JC/65</t>
  </si>
  <si>
    <t>037-RM-26-27</t>
  </si>
  <si>
    <t>MH-10-DT-5590</t>
  </si>
  <si>
    <t>018-FG-26-27</t>
  </si>
  <si>
    <t>GJ-12-BW-0445</t>
  </si>
  <si>
    <t>AKKU4034427</t>
  </si>
  <si>
    <t>SPPL40810879</t>
  </si>
  <si>
    <t>DS</t>
  </si>
  <si>
    <t>CHS</t>
  </si>
  <si>
    <t>038-RM-26-27</t>
  </si>
  <si>
    <t>RJ-19-GJ-5812</t>
  </si>
  <si>
    <t>DIVIJA INTERNATIONAL</t>
  </si>
  <si>
    <t>YELLOW MUSTARD</t>
  </si>
  <si>
    <t>039-RM-26-27</t>
  </si>
  <si>
    <t>GJ-06-AZ-4288</t>
  </si>
  <si>
    <t>JC/66</t>
  </si>
  <si>
    <t>040-RM-26-27</t>
  </si>
  <si>
    <t>GJ-03-AT-2623</t>
  </si>
  <si>
    <t>041-RM-26-27</t>
  </si>
  <si>
    <t>JC/73</t>
  </si>
  <si>
    <t>JC/74</t>
  </si>
  <si>
    <t>42-RM-26-27</t>
  </si>
  <si>
    <t>GJ-03-CU-0410</t>
  </si>
  <si>
    <t>JC/77</t>
  </si>
  <si>
    <t>JC/78</t>
  </si>
  <si>
    <t>019-FG-26-27</t>
  </si>
  <si>
    <t>GJ-27-TG-5176</t>
  </si>
  <si>
    <t>JIMMY AND SONS</t>
  </si>
  <si>
    <t>UNJHA (GJ)</t>
  </si>
  <si>
    <t>020-FG-26-27</t>
  </si>
  <si>
    <t>GJ-12-AU-7936</t>
  </si>
  <si>
    <t>AKKU2028390</t>
  </si>
  <si>
    <t>SPPL41069861</t>
  </si>
  <si>
    <t>DE/EXP/014/26-27</t>
  </si>
  <si>
    <t>SPECIFICATION  NO 19239 DTD 14.04.2026 TO THE CONTACT NO DK-I-0425 DTD 10.04.2025</t>
  </si>
  <si>
    <t>NAMAKKAL (TN)/ SANGLI (MH)</t>
  </si>
  <si>
    <t>021-FG-26-27</t>
  </si>
  <si>
    <t>GJ-03-BW-7904</t>
  </si>
  <si>
    <t>17/2026-27</t>
  </si>
  <si>
    <t>ASIAN FOOD INDUSTRIES</t>
  </si>
  <si>
    <t>NADIAD (GJ)</t>
  </si>
  <si>
    <t>DOUBLE SORTEX PURITY 99.97%</t>
  </si>
  <si>
    <t>022-FG-26-27</t>
  </si>
  <si>
    <t>AKKU4065855</t>
  </si>
  <si>
    <t>SPPL40810880</t>
  </si>
  <si>
    <t>DE/EXP/013/26-27</t>
  </si>
  <si>
    <t>115-.96</t>
  </si>
  <si>
    <t>SPECIFICATION 1 DT 14.04.2026 CNTRACT NO DK-4-2026 DTD 10.04-2025</t>
  </si>
  <si>
    <t>LLC COMPANY VREMYA</t>
  </si>
  <si>
    <t>RED CHILLY POWDER 1ST GRADE ASTA-30-40 SHU-20000</t>
  </si>
  <si>
    <t>RED CHILLY POWDER HIGH GRADE ASTA-50-60 SHU-20000</t>
  </si>
  <si>
    <t>43-RM-26-27</t>
  </si>
  <si>
    <t>JC/80</t>
  </si>
  <si>
    <t>JC/81</t>
  </si>
  <si>
    <t>44-RM-26-27</t>
  </si>
  <si>
    <t>GI-64/26-27</t>
  </si>
  <si>
    <t>BROWN MASTARD SEEDS</t>
  </si>
  <si>
    <t>023-FG-26-27</t>
  </si>
  <si>
    <t>AKKU2015942</t>
  </si>
  <si>
    <t>SPPL41069862</t>
  </si>
  <si>
    <t>DE/EXP/019/25-26</t>
  </si>
  <si>
    <t>SPECIFICATION ID 19345 DTD 04.052026 TO CONTRACT NO DK-I-0425 DTD 10.04.2025</t>
  </si>
  <si>
    <t>YMS</t>
  </si>
  <si>
    <t>BROWN MASTARD</t>
  </si>
  <si>
    <t>BMS</t>
  </si>
  <si>
    <t>024-FG-26-27</t>
  </si>
  <si>
    <t>GJ-12-BT-4949</t>
  </si>
  <si>
    <t>14/2026-27</t>
  </si>
  <si>
    <t>45-RM-26-27</t>
  </si>
  <si>
    <t>GJ-13-X-0632</t>
  </si>
  <si>
    <t>JC/82</t>
  </si>
  <si>
    <t>JC/83</t>
  </si>
  <si>
    <t>RBSS</t>
  </si>
  <si>
    <t>046-RM-26-27</t>
  </si>
  <si>
    <t>GJ-16-AU-0892</t>
  </si>
  <si>
    <t>GT21/26-27</t>
  </si>
  <si>
    <t>THA. CHHOTALAL POPATLAL</t>
  </si>
  <si>
    <t>AMRELI (GJ)</t>
  </si>
  <si>
    <t>(A) VIP</t>
  </si>
  <si>
    <t>(1) BEST</t>
  </si>
  <si>
    <t>025-FG-26-27</t>
  </si>
  <si>
    <t>GJ-12-BY-6297</t>
  </si>
  <si>
    <t>FESU5351130</t>
  </si>
  <si>
    <t>SPPL41069863</t>
  </si>
  <si>
    <t>DE/EXP/012/26-27</t>
  </si>
  <si>
    <t>ADDITIONAL AGREEMENT NO UA26-085 DD 10.04.2026 TO CONTRACT NO UAG/DEP/2024INR DD 25.11.2024</t>
  </si>
  <si>
    <t>TURMERIC POWDER MIN 1.00% CUCUMINE</t>
  </si>
  <si>
    <t>THANE (MH)/NAMAKKAL (TN)</t>
  </si>
  <si>
    <t>TURMERIC POWDER MIN 1.50% CUCUMINE</t>
  </si>
  <si>
    <t>NAMAKKAL (TN)/SAGLI (MH)</t>
  </si>
  <si>
    <t>TURMERIC POWDER MIN 2.00% CUCUMINE</t>
  </si>
  <si>
    <t>TURMERIC POWDER MIN 2.50% CUCUMINE</t>
  </si>
  <si>
    <t>TP</t>
  </si>
  <si>
    <t>06-FG-26-27</t>
  </si>
  <si>
    <t>FESU5357972</t>
  </si>
  <si>
    <t>SPPL41069864</t>
  </si>
  <si>
    <t>DE/EXP/018/26-27</t>
  </si>
  <si>
    <t>1.267 USD</t>
  </si>
  <si>
    <t>40616 USD</t>
  </si>
  <si>
    <t>SUPPLEMENT NO 8 DATED 15.04.2026 TO THE CONTRACT NO 912024 DATED 09-01-2024</t>
  </si>
  <si>
    <t>LLC *PROMPOSTAVKA-M*</t>
  </si>
  <si>
    <t>RED CHILLY POWDER 1ST GRADE  ASTA-50-60 SHU-30000</t>
  </si>
  <si>
    <t>1.51 USD</t>
  </si>
  <si>
    <t>RED CHILLY POWDER PREMIUM GRADE  ASTA-100 SHU-30000</t>
  </si>
  <si>
    <t>RCP</t>
  </si>
  <si>
    <t>3.077 USD</t>
  </si>
  <si>
    <t>RCC</t>
  </si>
  <si>
    <t>047-FG-26-27</t>
  </si>
  <si>
    <t>GJ-01-CY-6476</t>
  </si>
  <si>
    <t>JC/84</t>
  </si>
  <si>
    <t>048-FG-26-27</t>
  </si>
  <si>
    <t>GJ-11-Y-6300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</si>
</sst>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/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rgb="FFFF0000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rgb="FFFF0000"/>
      </right>
      <top/>
      <bottom style="thin">
        <color theme="1"/>
      </bottom>
      <diagonal/>
    </border>
    <border>
      <left style="thin">
        <color theme="1"/>
      </left>
      <right style="thin">
        <color rgb="FFFF0000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rgb="FFFF0000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rgb="FFFF0000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0" xfId="0" applyNumberFormat="1"/>
    <xf numFmtId="164" fontId="0" fillId="0" borderId="18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/>
    <xf numFmtId="14" fontId="0" fillId="0" borderId="17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8" xfId="0" applyBorder="1"/>
    <xf numFmtId="14" fontId="0" fillId="0" borderId="28" xfId="0" applyNumberFormat="1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66" fontId="0" fillId="0" borderId="28" xfId="0" applyNumberFormat="1" applyBorder="1" applyAlignment="1">
      <alignment horizontal="center" vertical="center"/>
    </xf>
    <xf numFmtId="0" fontId="0" fillId="0" borderId="37" xfId="0" applyBorder="1"/>
    <xf numFmtId="16" fontId="0" fillId="0" borderId="28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7" xfId="0" applyBorder="1"/>
    <xf numFmtId="0" fontId="0" fillId="0" borderId="34" xfId="0" applyBorder="1"/>
    <xf numFmtId="0" fontId="0" fillId="2" borderId="35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4" fontId="0" fillId="3" borderId="18" xfId="0" applyNumberFormat="1" applyFill="1" applyBorder="1" applyAlignment="1">
      <alignment horizontal="center" vertical="center"/>
    </xf>
    <xf numFmtId="2" fontId="0" fillId="3" borderId="18" xfId="0" applyNumberFormat="1" applyFill="1" applyBorder="1" applyAlignment="1">
      <alignment horizontal="center" vertical="center"/>
    </xf>
    <xf numFmtId="164" fontId="0" fillId="3" borderId="18" xfId="0" applyNumberForma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2" fontId="0" fillId="3" borderId="19" xfId="0" applyNumberForma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4" fontId="0" fillId="3" borderId="19" xfId="0" applyNumberForma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2" fontId="0" fillId="3" borderId="28" xfId="0" applyNumberFormat="1" applyFill="1" applyBorder="1" applyAlignment="1">
      <alignment horizontal="center" vertical="center"/>
    </xf>
    <xf numFmtId="164" fontId="0" fillId="3" borderId="28" xfId="0" applyNumberForma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4" fontId="0" fillId="0" borderId="38" xfId="0" applyNumberForma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5" fontId="0" fillId="0" borderId="34" xfId="0" applyNumberFormat="1" applyBorder="1" applyAlignment="1">
      <alignment horizontal="center" vertical="center"/>
    </xf>
    <xf numFmtId="2" fontId="0" fillId="0" borderId="50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17" xfId="0" applyNumberFormat="1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2" fillId="5" borderId="28" xfId="0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5" xfId="0" applyBorder="1"/>
    <xf numFmtId="0" fontId="0" fillId="0" borderId="56" xfId="0" applyBorder="1" applyAlignment="1">
      <alignment horizontal="center" vertical="center"/>
    </xf>
    <xf numFmtId="0" fontId="0" fillId="0" borderId="2" xfId="0" applyBorder="1"/>
    <xf numFmtId="14" fontId="0" fillId="0" borderId="58" xfId="0" applyNumberFormat="1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16" xfId="0" applyBorder="1"/>
    <xf numFmtId="0" fontId="0" fillId="0" borderId="57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45" xfId="0" applyBorder="1" applyAlignment="1">
      <alignment horizontal="center"/>
    </xf>
    <xf numFmtId="0" fontId="3" fillId="0" borderId="0" xfId="0" applyFont="1"/>
    <xf numFmtId="167" fontId="0" fillId="0" borderId="0" xfId="0" applyNumberFormat="1"/>
    <xf numFmtId="0" fontId="1" fillId="0" borderId="4" xfId="0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0" fillId="0" borderId="12" xfId="0" applyBorder="1" applyAlignment="1">
      <alignment horizontal="center"/>
    </xf>
    <xf numFmtId="0" fontId="0" fillId="0" borderId="7" xfId="0" applyBorder="1"/>
    <xf numFmtId="0" fontId="0" fillId="0" borderId="28" xfId="0" applyBorder="1" applyAlignment="1">
      <alignment horizontal="center" vertical="center"/>
    </xf>
    <xf numFmtId="0" fontId="0" fillId="0" borderId="36" xfId="0" applyBorder="1"/>
    <xf numFmtId="14" fontId="0" fillId="0" borderId="28" xfId="0" applyNumberFormat="1" applyBorder="1" applyAlignment="1">
      <alignment horizontal="center" vertical="center"/>
    </xf>
    <xf numFmtId="0" fontId="0" fillId="0" borderId="35" xfId="0" applyBorder="1"/>
    <xf numFmtId="0" fontId="0" fillId="0" borderId="1" xfId="0" applyBorder="1" applyAlignment="1">
      <alignment horizontal="center" vertical="center" wrapText="1"/>
    </xf>
    <xf numFmtId="0" fontId="0" fillId="0" borderId="63" xfId="0" applyBorder="1"/>
    <xf numFmtId="0" fontId="0" fillId="0" borderId="12" xfId="0" applyBorder="1" applyAlignment="1">
      <alignment horizontal="center" vertical="center" wrapText="1"/>
    </xf>
    <xf numFmtId="0" fontId="0" fillId="0" borderId="11" xfId="0" applyBorder="1"/>
    <xf numFmtId="0" fontId="0" fillId="0" borderId="61" xfId="0" applyBorder="1" applyAlignment="1">
      <alignment horizontal="center" vertical="center"/>
    </xf>
    <xf numFmtId="0" fontId="0" fillId="0" borderId="0" xfId="0"/>
    <xf numFmtId="0" fontId="0" fillId="0" borderId="31" xfId="0" applyBorder="1"/>
    <xf numFmtId="14" fontId="0" fillId="0" borderId="3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/>
    <xf numFmtId="0" fontId="0" fillId="0" borderId="18" xfId="0" applyBorder="1"/>
    <xf numFmtId="2" fontId="0" fillId="0" borderId="17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14" fontId="0" fillId="0" borderId="17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4" fontId="0" fillId="0" borderId="19" xfId="0" applyNumberFormat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14" fontId="0" fillId="0" borderId="3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8" xfId="0" applyBorder="1"/>
    <xf numFmtId="0" fontId="0" fillId="0" borderId="10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85"/>
  <sheetViews>
    <sheetView topLeftCell="E120" workbookViewId="0">
      <selection activeCell="H137" sqref="H137"/>
    </sheetView>
  </sheetViews>
  <sheetFormatPr defaultRowHeight="14.4" x14ac:dyDescent="0.3"/>
  <cols>
    <col min="1" max="1" width="13.109375" bestFit="1" customWidth="1"/>
    <col min="2" max="2" width="14.33203125" bestFit="1" customWidth="1"/>
    <col min="3" max="3" width="10.44140625" bestFit="1" customWidth="1"/>
    <col min="4" max="4" width="19.33203125" bestFit="1" customWidth="1"/>
    <col min="5" max="5" width="14.88671875" bestFit="1" customWidth="1"/>
    <col min="6" max="6" width="16.33203125" bestFit="1" customWidth="1"/>
    <col min="7" max="7" width="19.5546875" bestFit="1" customWidth="1"/>
    <col min="8" max="8" width="13.109375" style="21" bestFit="1" customWidth="1"/>
    <col min="9" max="9" width="21.88671875" style="21" customWidth="1"/>
    <col min="10" max="10" width="21.88671875" bestFit="1" customWidth="1"/>
    <col min="11" max="11" width="36.109375" bestFit="1" customWidth="1"/>
    <col min="12" max="12" width="31.44140625" bestFit="1" customWidth="1"/>
    <col min="13" max="13" width="26.44140625" bestFit="1" customWidth="1"/>
    <col min="14" max="14" width="68.44140625" bestFit="1" customWidth="1"/>
    <col min="15" max="15" width="16.44140625" bestFit="1" customWidth="1"/>
    <col min="17" max="18" width="9.109375" style="24" customWidth="1"/>
    <col min="22" max="22" width="9.109375" style="24" customWidth="1"/>
    <col min="23" max="23" width="9.5546875" style="24" bestFit="1" customWidth="1"/>
    <col min="34" max="35" width="8.44140625" bestFit="1" customWidth="1"/>
    <col min="36" max="36" width="23.44140625" bestFit="1" customWidth="1"/>
  </cols>
  <sheetData>
    <row r="1" spans="1:44" ht="15.75" customHeight="1" thickBot="1" x14ac:dyDescent="0.35">
      <c r="A1" s="141" t="s">
        <v>69</v>
      </c>
      <c r="B1" s="143" t="s">
        <v>70</v>
      </c>
      <c r="C1" s="141" t="s">
        <v>2</v>
      </c>
      <c r="D1" s="141" t="s">
        <v>71</v>
      </c>
      <c r="E1" s="143" t="s">
        <v>72</v>
      </c>
      <c r="F1" s="143" t="s">
        <v>73</v>
      </c>
      <c r="G1" s="141" t="s">
        <v>74</v>
      </c>
      <c r="H1" s="161" t="s">
        <v>75</v>
      </c>
      <c r="I1" s="162" t="s">
        <v>76</v>
      </c>
      <c r="J1" s="141" t="s">
        <v>77</v>
      </c>
      <c r="K1" s="141" t="s">
        <v>78</v>
      </c>
      <c r="L1" s="143" t="s">
        <v>79</v>
      </c>
      <c r="M1" s="141" t="s">
        <v>80</v>
      </c>
      <c r="N1" s="143" t="s">
        <v>81</v>
      </c>
      <c r="O1" s="141" t="s">
        <v>82</v>
      </c>
      <c r="P1" s="160" t="s">
        <v>83</v>
      </c>
      <c r="Q1" s="133"/>
      <c r="R1" s="133"/>
      <c r="S1" s="133"/>
      <c r="T1" s="134"/>
      <c r="U1" s="169" t="s">
        <v>84</v>
      </c>
      <c r="V1" s="133"/>
      <c r="W1" s="133"/>
      <c r="X1" s="133"/>
      <c r="Y1" s="133"/>
      <c r="Z1" s="133"/>
      <c r="AA1" s="133"/>
      <c r="AB1" s="133"/>
      <c r="AC1" s="133"/>
      <c r="AD1" s="133"/>
      <c r="AE1" s="136"/>
      <c r="AF1" s="3"/>
      <c r="AG1" s="4"/>
      <c r="AH1" s="4"/>
      <c r="AI1" s="4"/>
      <c r="AJ1" s="5" t="s">
        <v>85</v>
      </c>
      <c r="AK1" s="170" t="s">
        <v>86</v>
      </c>
      <c r="AL1" s="171"/>
      <c r="AM1" s="171"/>
      <c r="AN1" s="171"/>
      <c r="AO1" s="171"/>
      <c r="AP1" s="171"/>
      <c r="AQ1" s="171"/>
      <c r="AR1" s="172"/>
    </row>
    <row r="2" spans="1:44" ht="75.75" customHeight="1" thickBot="1" x14ac:dyDescent="0.35">
      <c r="A2" s="142"/>
      <c r="B2" s="144"/>
      <c r="C2" s="142"/>
      <c r="D2" s="142"/>
      <c r="E2" s="144"/>
      <c r="F2" s="144"/>
      <c r="G2" s="142"/>
      <c r="H2" s="144"/>
      <c r="I2" s="142"/>
      <c r="J2" s="142"/>
      <c r="K2" s="142"/>
      <c r="L2" s="144"/>
      <c r="M2" s="142"/>
      <c r="N2" s="144"/>
      <c r="O2" s="142"/>
      <c r="P2" s="6" t="s">
        <v>5</v>
      </c>
      <c r="Q2" s="7" t="s">
        <v>87</v>
      </c>
      <c r="R2" s="8" t="s">
        <v>88</v>
      </c>
      <c r="S2" s="9" t="s">
        <v>89</v>
      </c>
      <c r="T2" s="10" t="s">
        <v>90</v>
      </c>
      <c r="U2" s="11" t="s">
        <v>91</v>
      </c>
      <c r="V2" s="7" t="s">
        <v>87</v>
      </c>
      <c r="W2" s="8" t="s">
        <v>92</v>
      </c>
      <c r="X2" s="9" t="s">
        <v>89</v>
      </c>
      <c r="Y2" s="9" t="s">
        <v>93</v>
      </c>
      <c r="Z2" s="9" t="s">
        <v>93</v>
      </c>
      <c r="AA2" s="9" t="s">
        <v>94</v>
      </c>
      <c r="AB2" s="9" t="s">
        <v>95</v>
      </c>
      <c r="AC2" s="9" t="s">
        <v>96</v>
      </c>
      <c r="AD2" s="9" t="s">
        <v>97</v>
      </c>
      <c r="AE2" s="9" t="s">
        <v>98</v>
      </c>
      <c r="AF2" s="12" t="s">
        <v>99</v>
      </c>
      <c r="AG2" s="12" t="s">
        <v>100</v>
      </c>
      <c r="AH2" s="12" t="s">
        <v>101</v>
      </c>
      <c r="AI2" s="12" t="s">
        <v>102</v>
      </c>
      <c r="AJ2" s="13" t="s">
        <v>103</v>
      </c>
      <c r="AK2" s="14" t="s">
        <v>104</v>
      </c>
      <c r="AL2" s="1" t="s">
        <v>105</v>
      </c>
      <c r="AM2" s="1" t="s">
        <v>106</v>
      </c>
      <c r="AN2" s="1" t="s">
        <v>67</v>
      </c>
      <c r="AO2" s="1" t="s">
        <v>107</v>
      </c>
      <c r="AP2" s="2" t="s">
        <v>108</v>
      </c>
      <c r="AQ2" s="2" t="s">
        <v>68</v>
      </c>
      <c r="AR2" s="15" t="s">
        <v>40</v>
      </c>
    </row>
    <row r="3" spans="1:44" x14ac:dyDescent="0.3">
      <c r="A3" s="17" t="s">
        <v>66</v>
      </c>
      <c r="B3" s="17" t="s">
        <v>109</v>
      </c>
      <c r="C3" s="18">
        <v>46114</v>
      </c>
      <c r="D3" s="17" t="s">
        <v>110</v>
      </c>
      <c r="E3" s="17" t="s">
        <v>111</v>
      </c>
      <c r="F3" s="17" t="s">
        <v>112</v>
      </c>
      <c r="G3" s="17" t="s">
        <v>113</v>
      </c>
      <c r="H3" s="19">
        <v>79.075999999999993</v>
      </c>
      <c r="I3" s="19">
        <v>1168275</v>
      </c>
      <c r="J3" s="17" t="s">
        <v>114</v>
      </c>
      <c r="K3" s="17" t="s">
        <v>50</v>
      </c>
      <c r="L3" s="17" t="s">
        <v>115</v>
      </c>
      <c r="M3" s="17" t="s">
        <v>116</v>
      </c>
      <c r="N3" s="17" t="s">
        <v>117</v>
      </c>
      <c r="O3" s="17" t="s">
        <v>105</v>
      </c>
      <c r="P3" s="17">
        <v>0</v>
      </c>
      <c r="Q3" s="22">
        <v>0</v>
      </c>
      <c r="R3" s="22">
        <v>0</v>
      </c>
      <c r="S3" s="17">
        <v>0</v>
      </c>
      <c r="T3" s="30">
        <v>0</v>
      </c>
      <c r="U3" s="28">
        <v>720</v>
      </c>
      <c r="V3" s="22">
        <v>25.12</v>
      </c>
      <c r="W3" s="22">
        <v>0.12</v>
      </c>
      <c r="X3" s="17">
        <v>18195</v>
      </c>
      <c r="Y3" s="17">
        <v>18000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17">
        <f>68800-Y3</f>
        <v>50800</v>
      </c>
      <c r="AG3" s="17"/>
      <c r="AH3" s="17"/>
      <c r="AI3" s="17"/>
      <c r="AJ3" s="27"/>
      <c r="AK3" s="17"/>
      <c r="AL3" s="17"/>
      <c r="AM3" s="17"/>
      <c r="AN3" s="17"/>
      <c r="AO3" s="17"/>
      <c r="AP3" s="17"/>
      <c r="AQ3" s="17"/>
      <c r="AR3" s="17"/>
    </row>
    <row r="4" spans="1:44" x14ac:dyDescent="0.3">
      <c r="A4" s="16" t="s">
        <v>66</v>
      </c>
      <c r="B4" s="16" t="s">
        <v>118</v>
      </c>
      <c r="C4" s="18">
        <v>46114</v>
      </c>
      <c r="D4" s="16" t="s">
        <v>119</v>
      </c>
      <c r="E4" s="16" t="s">
        <v>120</v>
      </c>
      <c r="F4" s="16" t="s">
        <v>121</v>
      </c>
      <c r="G4" s="16" t="s">
        <v>122</v>
      </c>
      <c r="H4" s="20">
        <v>127.97799999999999</v>
      </c>
      <c r="I4" s="20">
        <v>2059167</v>
      </c>
      <c r="J4" s="16" t="s">
        <v>123</v>
      </c>
      <c r="K4" s="17" t="s">
        <v>50</v>
      </c>
      <c r="L4" s="16" t="s">
        <v>124</v>
      </c>
      <c r="M4" s="16" t="s">
        <v>116</v>
      </c>
      <c r="N4" s="16" t="s">
        <v>125</v>
      </c>
      <c r="O4" s="16" t="s">
        <v>105</v>
      </c>
      <c r="P4" s="16">
        <v>0</v>
      </c>
      <c r="Q4" s="23">
        <v>0</v>
      </c>
      <c r="R4" s="23">
        <v>0</v>
      </c>
      <c r="S4" s="16">
        <v>0</v>
      </c>
      <c r="T4" s="31">
        <v>0</v>
      </c>
      <c r="U4" s="29">
        <v>720</v>
      </c>
      <c r="V4" s="23">
        <v>25.12</v>
      </c>
      <c r="W4" s="23">
        <v>0.12</v>
      </c>
      <c r="X4" s="16">
        <v>18095</v>
      </c>
      <c r="Y4" s="16">
        <v>18000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f>AF3-Y4</f>
        <v>32800</v>
      </c>
      <c r="AG4" s="16"/>
      <c r="AH4" s="16"/>
      <c r="AI4" s="35"/>
      <c r="AJ4" s="42"/>
      <c r="AK4" s="29"/>
      <c r="AL4" s="16"/>
      <c r="AM4" s="16"/>
      <c r="AN4" s="16"/>
      <c r="AO4" s="16"/>
      <c r="AP4" s="16"/>
      <c r="AQ4" s="16"/>
      <c r="AR4" s="16"/>
    </row>
    <row r="5" spans="1:44" x14ac:dyDescent="0.3">
      <c r="A5" s="17" t="s">
        <v>66</v>
      </c>
      <c r="B5" s="17" t="s">
        <v>126</v>
      </c>
      <c r="C5" s="18">
        <v>46115</v>
      </c>
      <c r="D5" s="17" t="s">
        <v>127</v>
      </c>
      <c r="E5" s="17" t="s">
        <v>128</v>
      </c>
      <c r="F5" s="17" t="s">
        <v>129</v>
      </c>
      <c r="G5" s="17" t="s">
        <v>130</v>
      </c>
      <c r="H5" s="19">
        <v>121.471</v>
      </c>
      <c r="I5" s="19">
        <v>3036775</v>
      </c>
      <c r="J5" s="17" t="s">
        <v>131</v>
      </c>
      <c r="K5" s="17" t="s">
        <v>132</v>
      </c>
      <c r="L5" s="17" t="s">
        <v>133</v>
      </c>
      <c r="M5" s="17" t="s">
        <v>134</v>
      </c>
      <c r="N5" s="16" t="s">
        <v>135</v>
      </c>
      <c r="O5" s="17" t="s">
        <v>105</v>
      </c>
      <c r="P5" s="17">
        <v>0</v>
      </c>
      <c r="Q5" s="22">
        <v>0</v>
      </c>
      <c r="R5" s="22">
        <v>0</v>
      </c>
      <c r="S5" s="17">
        <v>0</v>
      </c>
      <c r="T5" s="30">
        <v>0</v>
      </c>
      <c r="U5" s="28">
        <v>500</v>
      </c>
      <c r="V5" s="22">
        <v>50.24</v>
      </c>
      <c r="W5" s="22">
        <v>0.24</v>
      </c>
      <c r="X5" s="17">
        <v>25165</v>
      </c>
      <c r="Y5" s="17">
        <v>25000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f>41156-Y5</f>
        <v>16156</v>
      </c>
      <c r="AG5" s="16"/>
      <c r="AH5" s="16"/>
      <c r="AI5" s="16"/>
      <c r="AK5" s="16"/>
      <c r="AL5" s="16"/>
      <c r="AM5" s="16"/>
      <c r="AN5" s="16"/>
      <c r="AO5" s="16"/>
      <c r="AP5" s="16"/>
      <c r="AQ5" s="16"/>
      <c r="AR5" s="16"/>
    </row>
    <row r="6" spans="1:44" x14ac:dyDescent="0.3">
      <c r="A6" s="149" t="s">
        <v>66</v>
      </c>
      <c r="B6" s="149" t="s">
        <v>136</v>
      </c>
      <c r="C6" s="155">
        <v>46115</v>
      </c>
      <c r="D6" s="149" t="s">
        <v>137</v>
      </c>
      <c r="E6" s="149" t="s">
        <v>138</v>
      </c>
      <c r="F6" s="149" t="s">
        <v>139</v>
      </c>
      <c r="G6" s="149" t="s">
        <v>140</v>
      </c>
      <c r="H6" s="19">
        <v>88.96</v>
      </c>
      <c r="I6" s="152">
        <v>6612060</v>
      </c>
      <c r="J6" s="154" t="s">
        <v>141</v>
      </c>
      <c r="K6" s="149" t="s">
        <v>57</v>
      </c>
      <c r="L6" s="149" t="s">
        <v>115</v>
      </c>
      <c r="M6" s="149" t="s">
        <v>142</v>
      </c>
      <c r="N6" s="17" t="s">
        <v>143</v>
      </c>
      <c r="O6" s="149" t="s">
        <v>105</v>
      </c>
      <c r="P6" s="17">
        <v>0</v>
      </c>
      <c r="Q6" s="22">
        <v>0</v>
      </c>
      <c r="R6" s="22">
        <v>0</v>
      </c>
      <c r="S6" s="17">
        <v>0</v>
      </c>
      <c r="T6" s="30">
        <v>0</v>
      </c>
      <c r="U6" s="28">
        <v>200</v>
      </c>
      <c r="V6" s="22">
        <v>25.12</v>
      </c>
      <c r="W6" s="22">
        <v>0.12</v>
      </c>
      <c r="X6" s="149">
        <v>25720</v>
      </c>
      <c r="Y6" s="17">
        <v>5000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f>118765-Y6</f>
        <v>113765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x14ac:dyDescent="0.3">
      <c r="A7" s="150"/>
      <c r="B7" s="150"/>
      <c r="C7" s="150"/>
      <c r="D7" s="150"/>
      <c r="E7" s="150"/>
      <c r="F7" s="150"/>
      <c r="G7" s="150"/>
      <c r="H7" s="19">
        <v>128.09</v>
      </c>
      <c r="I7" s="150"/>
      <c r="J7" s="150"/>
      <c r="K7" s="150"/>
      <c r="L7" s="151"/>
      <c r="M7" s="151"/>
      <c r="N7" s="17" t="s">
        <v>144</v>
      </c>
      <c r="O7" s="150"/>
      <c r="P7" s="17">
        <v>0</v>
      </c>
      <c r="Q7" s="22">
        <v>0</v>
      </c>
      <c r="R7" s="22">
        <v>0</v>
      </c>
      <c r="S7" s="17">
        <v>0</v>
      </c>
      <c r="T7" s="30">
        <v>0</v>
      </c>
      <c r="U7" s="28">
        <v>200</v>
      </c>
      <c r="V7" s="22">
        <v>25.12</v>
      </c>
      <c r="W7" s="22">
        <v>0.12</v>
      </c>
      <c r="X7" s="150"/>
      <c r="Y7" s="17">
        <v>5000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f>AF6-Y7</f>
        <v>108765</v>
      </c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x14ac:dyDescent="0.3">
      <c r="A8" s="150"/>
      <c r="B8" s="150"/>
      <c r="C8" s="150"/>
      <c r="D8" s="150"/>
      <c r="E8" s="150"/>
      <c r="F8" s="150"/>
      <c r="G8" s="150"/>
      <c r="H8" s="19">
        <v>145.6</v>
      </c>
      <c r="I8" s="150"/>
      <c r="J8" s="150"/>
      <c r="K8" s="150"/>
      <c r="L8" s="17" t="s">
        <v>145</v>
      </c>
      <c r="M8" s="17" t="s">
        <v>142</v>
      </c>
      <c r="N8" s="17" t="s">
        <v>146</v>
      </c>
      <c r="O8" s="150"/>
      <c r="P8" s="17">
        <v>0</v>
      </c>
      <c r="Q8" s="22">
        <v>0</v>
      </c>
      <c r="R8" s="22">
        <v>0</v>
      </c>
      <c r="S8" s="17">
        <v>0</v>
      </c>
      <c r="T8" s="30">
        <v>0</v>
      </c>
      <c r="U8" s="28">
        <v>200</v>
      </c>
      <c r="V8" s="22">
        <v>25.12</v>
      </c>
      <c r="W8" s="22">
        <v>0.12</v>
      </c>
      <c r="X8" s="150"/>
      <c r="Y8" s="17">
        <v>5000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f>AF7-Y8</f>
        <v>103765</v>
      </c>
      <c r="AG8" s="16"/>
      <c r="AH8" s="16"/>
      <c r="AI8" s="16"/>
      <c r="AJ8" s="26"/>
      <c r="AK8" s="16"/>
      <c r="AL8" s="16"/>
      <c r="AM8" s="16"/>
      <c r="AN8" s="16"/>
      <c r="AO8" s="16"/>
      <c r="AP8" s="16"/>
      <c r="AQ8" s="16"/>
      <c r="AR8" s="16"/>
    </row>
    <row r="9" spans="1:44" x14ac:dyDescent="0.3">
      <c r="A9" s="150"/>
      <c r="B9" s="150"/>
      <c r="C9" s="150"/>
      <c r="D9" s="150"/>
      <c r="E9" s="150"/>
      <c r="F9" s="150"/>
      <c r="G9" s="150"/>
      <c r="H9" s="19">
        <v>203.28</v>
      </c>
      <c r="I9" s="150"/>
      <c r="J9" s="150"/>
      <c r="K9" s="150"/>
      <c r="L9" s="17" t="s">
        <v>115</v>
      </c>
      <c r="M9" s="17" t="s">
        <v>142</v>
      </c>
      <c r="N9" s="17" t="s">
        <v>147</v>
      </c>
      <c r="O9" s="150"/>
      <c r="P9" s="17">
        <v>0</v>
      </c>
      <c r="Q9" s="22">
        <v>0</v>
      </c>
      <c r="R9" s="22">
        <v>0</v>
      </c>
      <c r="S9" s="17">
        <v>0</v>
      </c>
      <c r="T9" s="30">
        <v>0</v>
      </c>
      <c r="U9" s="28">
        <v>200</v>
      </c>
      <c r="V9" s="22">
        <v>25.12</v>
      </c>
      <c r="W9" s="22">
        <v>0.12</v>
      </c>
      <c r="X9" s="150"/>
      <c r="Y9" s="17">
        <v>5000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f>AF8-Y9</f>
        <v>98765</v>
      </c>
      <c r="AG9" s="16"/>
      <c r="AH9" s="16"/>
      <c r="AI9" s="35"/>
      <c r="AJ9" s="42"/>
      <c r="AK9" s="29"/>
      <c r="AL9" s="16"/>
      <c r="AM9" s="16"/>
      <c r="AN9" s="16"/>
      <c r="AO9" s="16"/>
      <c r="AP9" s="16"/>
      <c r="AQ9" s="16"/>
      <c r="AR9" s="16"/>
    </row>
    <row r="10" spans="1:44" x14ac:dyDescent="0.3">
      <c r="A10" s="150"/>
      <c r="B10" s="150"/>
      <c r="C10" s="150"/>
      <c r="D10" s="150"/>
      <c r="E10" s="150"/>
      <c r="F10" s="150"/>
      <c r="G10" s="150"/>
      <c r="H10" s="19">
        <v>1239.46</v>
      </c>
      <c r="I10" s="150"/>
      <c r="J10" s="150"/>
      <c r="K10" s="150"/>
      <c r="L10" s="16" t="s">
        <v>148</v>
      </c>
      <c r="M10" s="16" t="s">
        <v>149</v>
      </c>
      <c r="N10" s="16" t="s">
        <v>149</v>
      </c>
      <c r="O10" s="150"/>
      <c r="P10" s="17">
        <v>0</v>
      </c>
      <c r="Q10" s="22">
        <v>0</v>
      </c>
      <c r="R10" s="22">
        <v>0</v>
      </c>
      <c r="S10" s="17">
        <v>0</v>
      </c>
      <c r="T10" s="30">
        <v>0</v>
      </c>
      <c r="U10" s="28">
        <v>100</v>
      </c>
      <c r="V10" s="22">
        <v>10.85</v>
      </c>
      <c r="W10" s="22">
        <v>0.85</v>
      </c>
      <c r="X10" s="150"/>
      <c r="Y10" s="17">
        <v>1000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f>1000-Y10</f>
        <v>0</v>
      </c>
      <c r="AG10" s="16"/>
      <c r="AH10" s="16"/>
      <c r="AI10" s="16"/>
      <c r="AJ10" s="34" t="s">
        <v>150</v>
      </c>
      <c r="AK10" s="16"/>
      <c r="AL10" s="16"/>
      <c r="AM10" s="16"/>
      <c r="AN10" s="16"/>
      <c r="AO10" s="16"/>
      <c r="AP10" s="16"/>
      <c r="AQ10" s="16"/>
      <c r="AR10" s="16"/>
    </row>
    <row r="11" spans="1:44" x14ac:dyDescent="0.3">
      <c r="A11" s="150"/>
      <c r="B11" s="150"/>
      <c r="C11" s="150"/>
      <c r="D11" s="150"/>
      <c r="E11" s="150"/>
      <c r="F11" s="150"/>
      <c r="G11" s="150"/>
      <c r="H11" s="19">
        <v>471.5</v>
      </c>
      <c r="I11" s="150"/>
      <c r="J11" s="150"/>
      <c r="K11" s="150"/>
      <c r="L11" s="149" t="s">
        <v>151</v>
      </c>
      <c r="M11" s="149" t="s">
        <v>152</v>
      </c>
      <c r="N11" s="17" t="s">
        <v>153</v>
      </c>
      <c r="O11" s="150"/>
      <c r="P11" s="17">
        <v>0</v>
      </c>
      <c r="Q11" s="22">
        <v>0</v>
      </c>
      <c r="R11" s="22">
        <v>0</v>
      </c>
      <c r="S11" s="17">
        <v>0</v>
      </c>
      <c r="T11" s="30">
        <v>0</v>
      </c>
      <c r="U11" s="28">
        <v>140</v>
      </c>
      <c r="V11" s="22">
        <v>25.08</v>
      </c>
      <c r="W11" s="22">
        <v>0.08</v>
      </c>
      <c r="X11" s="150"/>
      <c r="Y11" s="17">
        <v>3500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f>3500-Y11</f>
        <v>0</v>
      </c>
      <c r="AG11" s="16"/>
      <c r="AH11" s="16"/>
      <c r="AI11" s="16"/>
      <c r="AJ11" s="33" t="s">
        <v>154</v>
      </c>
      <c r="AK11" s="16"/>
      <c r="AL11" s="16"/>
      <c r="AM11" s="16"/>
      <c r="AN11" s="16"/>
      <c r="AO11" s="16"/>
      <c r="AP11" s="16"/>
      <c r="AQ11" s="16"/>
      <c r="AR11" s="16"/>
    </row>
    <row r="12" spans="1:44" x14ac:dyDescent="0.3">
      <c r="A12" s="151"/>
      <c r="B12" s="151"/>
      <c r="C12" s="151"/>
      <c r="D12" s="151"/>
      <c r="E12" s="151"/>
      <c r="F12" s="151"/>
      <c r="G12" s="151"/>
      <c r="H12" s="19">
        <v>892.7</v>
      </c>
      <c r="I12" s="151"/>
      <c r="J12" s="151"/>
      <c r="K12" s="151"/>
      <c r="L12" s="151"/>
      <c r="M12" s="151"/>
      <c r="N12" s="17" t="s">
        <v>155</v>
      </c>
      <c r="O12" s="151"/>
      <c r="P12" s="17">
        <v>0</v>
      </c>
      <c r="Q12" s="22">
        <v>0</v>
      </c>
      <c r="R12" s="22">
        <v>0</v>
      </c>
      <c r="S12" s="17">
        <v>0</v>
      </c>
      <c r="T12" s="30">
        <v>0</v>
      </c>
      <c r="U12" s="28">
        <v>40</v>
      </c>
      <c r="V12" s="22">
        <v>25.08</v>
      </c>
      <c r="W12" s="22">
        <v>0.08</v>
      </c>
      <c r="X12" s="151"/>
      <c r="Y12" s="17">
        <v>1000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f>1000-Y12</f>
        <v>0</v>
      </c>
      <c r="AG12" s="16"/>
      <c r="AH12" s="16"/>
      <c r="AI12" s="16"/>
      <c r="AJ12" s="33" t="s">
        <v>156</v>
      </c>
      <c r="AK12" s="16"/>
      <c r="AL12" s="16"/>
      <c r="AM12" s="16"/>
      <c r="AN12" s="16"/>
      <c r="AO12" s="16"/>
      <c r="AP12" s="16"/>
      <c r="AQ12" s="16"/>
      <c r="AR12" s="16"/>
    </row>
    <row r="13" spans="1:44" x14ac:dyDescent="0.3">
      <c r="A13" s="66" t="s">
        <v>157</v>
      </c>
      <c r="B13" s="66" t="s">
        <v>66</v>
      </c>
      <c r="C13" s="67">
        <v>46117</v>
      </c>
      <c r="D13" s="66" t="s">
        <v>158</v>
      </c>
      <c r="E13" s="66" t="s">
        <v>66</v>
      </c>
      <c r="F13" s="66" t="s">
        <v>66</v>
      </c>
      <c r="G13" s="66" t="s">
        <v>159</v>
      </c>
      <c r="H13" s="68">
        <v>107.94</v>
      </c>
      <c r="I13" s="68">
        <v>1082935</v>
      </c>
      <c r="J13" s="66" t="s">
        <v>66</v>
      </c>
      <c r="K13" s="66" t="s">
        <v>8</v>
      </c>
      <c r="L13" s="66" t="s">
        <v>133</v>
      </c>
      <c r="M13" s="66" t="s">
        <v>134</v>
      </c>
      <c r="N13" s="66" t="s">
        <v>160</v>
      </c>
      <c r="O13" s="66" t="s">
        <v>161</v>
      </c>
      <c r="P13" s="66">
        <v>240</v>
      </c>
      <c r="Q13" s="69">
        <v>40.1</v>
      </c>
      <c r="R13" s="69">
        <v>0.1</v>
      </c>
      <c r="S13" s="66">
        <v>9540</v>
      </c>
      <c r="T13" s="70">
        <f>9540-24</f>
        <v>9516</v>
      </c>
      <c r="U13" s="71">
        <v>0</v>
      </c>
      <c r="V13" s="69">
        <v>0</v>
      </c>
      <c r="W13" s="69">
        <v>0</v>
      </c>
      <c r="X13" s="66">
        <v>0</v>
      </c>
      <c r="Y13" s="66">
        <v>0</v>
      </c>
      <c r="Z13" s="66">
        <v>0</v>
      </c>
      <c r="AA13" s="66">
        <v>0</v>
      </c>
      <c r="AB13" s="66">
        <v>0</v>
      </c>
      <c r="AC13" s="66">
        <v>0</v>
      </c>
      <c r="AD13" s="66">
        <v>0</v>
      </c>
      <c r="AE13" s="66">
        <v>0</v>
      </c>
      <c r="AF13" s="66">
        <f>AF5+T13</f>
        <v>25672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</row>
    <row r="14" spans="1:44" x14ac:dyDescent="0.3">
      <c r="A14" s="149" t="s">
        <v>162</v>
      </c>
      <c r="B14" s="149" t="s">
        <v>66</v>
      </c>
      <c r="C14" s="155">
        <v>46117</v>
      </c>
      <c r="D14" s="149" t="s">
        <v>163</v>
      </c>
      <c r="E14" s="149" t="s">
        <v>66</v>
      </c>
      <c r="F14" s="149" t="s">
        <v>66</v>
      </c>
      <c r="G14" s="16" t="s">
        <v>13</v>
      </c>
      <c r="H14" s="20">
        <v>139.38</v>
      </c>
      <c r="I14" s="20">
        <v>1068421</v>
      </c>
      <c r="J14" s="16" t="s">
        <v>66</v>
      </c>
      <c r="K14" s="16" t="s">
        <v>8</v>
      </c>
      <c r="L14" s="16" t="s">
        <v>164</v>
      </c>
      <c r="M14" s="16" t="s">
        <v>165</v>
      </c>
      <c r="N14" s="16" t="s">
        <v>160</v>
      </c>
      <c r="O14" s="16" t="s">
        <v>161</v>
      </c>
      <c r="P14" s="16">
        <v>124</v>
      </c>
      <c r="Q14" s="23">
        <v>60.11</v>
      </c>
      <c r="R14" s="23">
        <v>0.11</v>
      </c>
      <c r="S14" s="149">
        <v>10495</v>
      </c>
      <c r="T14" s="31">
        <f>7300-14</f>
        <v>7286</v>
      </c>
      <c r="U14" s="29">
        <v>0</v>
      </c>
      <c r="V14" s="23">
        <v>0</v>
      </c>
      <c r="W14" s="23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f>13638+T14</f>
        <v>20924</v>
      </c>
      <c r="AG14" s="16"/>
      <c r="AH14" s="16"/>
      <c r="AI14" s="16"/>
      <c r="AJ14" s="33" t="s">
        <v>166</v>
      </c>
      <c r="AK14" s="16"/>
      <c r="AL14" s="16"/>
      <c r="AM14" s="16"/>
      <c r="AN14" s="16"/>
      <c r="AO14" s="16"/>
      <c r="AP14" s="16"/>
      <c r="AQ14" s="16"/>
      <c r="AR14" s="16"/>
    </row>
    <row r="15" spans="1:44" x14ac:dyDescent="0.3">
      <c r="A15" s="151"/>
      <c r="B15" s="151"/>
      <c r="C15" s="151"/>
      <c r="D15" s="151"/>
      <c r="E15" s="151"/>
      <c r="F15" s="151"/>
      <c r="G15" s="16" t="s">
        <v>167</v>
      </c>
      <c r="H15" s="20">
        <v>109.01</v>
      </c>
      <c r="I15" s="20">
        <v>362725</v>
      </c>
      <c r="J15" s="16" t="s">
        <v>66</v>
      </c>
      <c r="K15" s="16" t="s">
        <v>8</v>
      </c>
      <c r="L15" s="16" t="s">
        <v>133</v>
      </c>
      <c r="M15" s="16" t="s">
        <v>134</v>
      </c>
      <c r="N15" s="16" t="s">
        <v>160</v>
      </c>
      <c r="O15" s="16" t="s">
        <v>161</v>
      </c>
      <c r="P15" s="16">
        <v>80</v>
      </c>
      <c r="Q15" s="23">
        <v>40.1</v>
      </c>
      <c r="R15" s="23">
        <v>0.1</v>
      </c>
      <c r="S15" s="151"/>
      <c r="T15" s="31">
        <f>3169-8</f>
        <v>3161</v>
      </c>
      <c r="U15" s="29">
        <v>0</v>
      </c>
      <c r="V15" s="23">
        <v>0</v>
      </c>
      <c r="W15" s="23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f>AF13+T15</f>
        <v>28833</v>
      </c>
      <c r="AG15" s="16"/>
      <c r="AH15" s="16"/>
      <c r="AI15" s="16"/>
      <c r="AK15" s="16"/>
      <c r="AL15" s="16"/>
      <c r="AM15" s="16"/>
      <c r="AN15" s="16"/>
      <c r="AO15" s="16"/>
      <c r="AP15" s="16"/>
      <c r="AQ15" s="16"/>
      <c r="AR15" s="16"/>
    </row>
    <row r="16" spans="1:44" x14ac:dyDescent="0.3">
      <c r="A16" s="16" t="s">
        <v>168</v>
      </c>
      <c r="B16" s="16" t="s">
        <v>66</v>
      </c>
      <c r="C16" s="25">
        <v>46117</v>
      </c>
      <c r="D16" s="16" t="s">
        <v>169</v>
      </c>
      <c r="E16" s="16" t="s">
        <v>66</v>
      </c>
      <c r="F16" s="16" t="s">
        <v>66</v>
      </c>
      <c r="G16" s="16" t="s">
        <v>170</v>
      </c>
      <c r="H16" s="20">
        <v>83.92</v>
      </c>
      <c r="I16" s="20">
        <v>1299753</v>
      </c>
      <c r="J16" s="16" t="s">
        <v>66</v>
      </c>
      <c r="K16" s="16" t="s">
        <v>8</v>
      </c>
      <c r="L16" s="16" t="s">
        <v>164</v>
      </c>
      <c r="M16" s="16" t="s">
        <v>171</v>
      </c>
      <c r="N16" s="16" t="s">
        <v>172</v>
      </c>
      <c r="O16" s="16" t="s">
        <v>161</v>
      </c>
      <c r="P16" s="16">
        <v>311</v>
      </c>
      <c r="Q16" s="23">
        <v>50.1</v>
      </c>
      <c r="R16" s="23">
        <v>0.1</v>
      </c>
      <c r="S16" s="16">
        <v>15575</v>
      </c>
      <c r="T16" s="31">
        <f>15575-31</f>
        <v>15544</v>
      </c>
      <c r="U16" s="29">
        <v>0</v>
      </c>
      <c r="V16" s="23">
        <v>0</v>
      </c>
      <c r="W16" s="23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f>29944+T16</f>
        <v>45488</v>
      </c>
      <c r="AG16" s="16"/>
      <c r="AH16" s="16"/>
      <c r="AI16" s="35"/>
      <c r="AJ16" s="42"/>
      <c r="AK16" s="29"/>
      <c r="AL16" s="16"/>
      <c r="AM16" s="16"/>
      <c r="AN16" s="16"/>
      <c r="AO16" s="16"/>
      <c r="AP16" s="16"/>
      <c r="AQ16" s="16"/>
      <c r="AR16" s="16"/>
    </row>
    <row r="17" spans="1:44" x14ac:dyDescent="0.3">
      <c r="A17" s="159" t="s">
        <v>66</v>
      </c>
      <c r="B17" s="159" t="s">
        <v>173</v>
      </c>
      <c r="C17" s="163">
        <v>46118</v>
      </c>
      <c r="D17" s="159" t="s">
        <v>174</v>
      </c>
      <c r="E17" s="149" t="s">
        <v>175</v>
      </c>
      <c r="F17" s="159" t="s">
        <v>176</v>
      </c>
      <c r="G17" s="149" t="s">
        <v>47</v>
      </c>
      <c r="H17" s="20">
        <v>113.75</v>
      </c>
      <c r="I17" s="152">
        <v>4068610</v>
      </c>
      <c r="J17" s="154" t="s">
        <v>177</v>
      </c>
      <c r="K17" s="159" t="s">
        <v>178</v>
      </c>
      <c r="L17" s="16" t="s">
        <v>179</v>
      </c>
      <c r="M17" s="16" t="s">
        <v>116</v>
      </c>
      <c r="N17" s="16" t="s">
        <v>180</v>
      </c>
      <c r="O17" s="149" t="s">
        <v>105</v>
      </c>
      <c r="P17" s="16">
        <v>0</v>
      </c>
      <c r="Q17" s="23">
        <v>0</v>
      </c>
      <c r="R17" s="23">
        <v>0</v>
      </c>
      <c r="S17" s="16">
        <v>0</v>
      </c>
      <c r="T17" s="31">
        <v>0</v>
      </c>
      <c r="U17" s="29">
        <v>160</v>
      </c>
      <c r="V17" s="23">
        <v>25.12</v>
      </c>
      <c r="W17" s="23">
        <v>0.12</v>
      </c>
      <c r="X17" s="149">
        <v>26990</v>
      </c>
      <c r="Y17" s="16">
        <v>4000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f>AF4-Y17</f>
        <v>28800</v>
      </c>
      <c r="AG17" s="16"/>
      <c r="AH17" s="16"/>
      <c r="AI17" s="35"/>
      <c r="AJ17" s="42"/>
      <c r="AK17" s="29"/>
      <c r="AL17" s="16"/>
      <c r="AM17" s="16"/>
      <c r="AN17" s="16"/>
      <c r="AO17" s="16"/>
      <c r="AP17" s="16"/>
      <c r="AQ17" s="16"/>
      <c r="AR17" s="16"/>
    </row>
    <row r="18" spans="1:44" x14ac:dyDescent="0.3">
      <c r="A18" s="150"/>
      <c r="B18" s="150"/>
      <c r="C18" s="150"/>
      <c r="D18" s="150"/>
      <c r="E18" s="150"/>
      <c r="F18" s="150"/>
      <c r="G18" s="150"/>
      <c r="H18" s="20">
        <v>132.678</v>
      </c>
      <c r="I18" s="150"/>
      <c r="J18" s="150"/>
      <c r="K18" s="150"/>
      <c r="L18" s="16" t="s">
        <v>145</v>
      </c>
      <c r="M18" s="16" t="s">
        <v>142</v>
      </c>
      <c r="N18" s="16" t="s">
        <v>181</v>
      </c>
      <c r="O18" s="150"/>
      <c r="P18" s="16">
        <v>0</v>
      </c>
      <c r="Q18" s="23">
        <v>0</v>
      </c>
      <c r="R18" s="23">
        <v>0</v>
      </c>
      <c r="S18" s="16">
        <v>0</v>
      </c>
      <c r="T18" s="31">
        <v>0</v>
      </c>
      <c r="U18" s="29">
        <v>240</v>
      </c>
      <c r="V18" s="23">
        <v>25.12</v>
      </c>
      <c r="W18" s="23">
        <v>0.12</v>
      </c>
      <c r="X18" s="150"/>
      <c r="Y18" s="16">
        <v>6000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f>AF9-Y18</f>
        <v>92765</v>
      </c>
      <c r="AG18" s="16"/>
      <c r="AH18" s="16"/>
      <c r="AI18" s="16"/>
      <c r="AK18" s="16"/>
      <c r="AL18" s="16"/>
      <c r="AM18" s="16"/>
      <c r="AN18" s="16"/>
      <c r="AO18" s="16"/>
      <c r="AP18" s="16"/>
      <c r="AQ18" s="16"/>
      <c r="AR18" s="16"/>
    </row>
    <row r="19" spans="1:44" x14ac:dyDescent="0.3">
      <c r="A19" s="150"/>
      <c r="B19" s="150"/>
      <c r="C19" s="150"/>
      <c r="D19" s="150"/>
      <c r="E19" s="150"/>
      <c r="F19" s="150"/>
      <c r="G19" s="150"/>
      <c r="H19" s="20">
        <v>69.524000000000001</v>
      </c>
      <c r="I19" s="150"/>
      <c r="J19" s="150"/>
      <c r="K19" s="150"/>
      <c r="L19" s="16" t="s">
        <v>182</v>
      </c>
      <c r="M19" s="16" t="s">
        <v>183</v>
      </c>
      <c r="N19" s="16" t="s">
        <v>184</v>
      </c>
      <c r="O19" s="150"/>
      <c r="P19" s="16">
        <v>0</v>
      </c>
      <c r="Q19" s="23">
        <v>0</v>
      </c>
      <c r="R19" s="23">
        <v>0</v>
      </c>
      <c r="S19" s="16">
        <v>0</v>
      </c>
      <c r="T19" s="31">
        <v>0</v>
      </c>
      <c r="U19" s="29">
        <v>280</v>
      </c>
      <c r="V19" s="23">
        <v>25.07</v>
      </c>
      <c r="W19" s="23">
        <v>7.0000000000000007E-2</v>
      </c>
      <c r="X19" s="150"/>
      <c r="Y19" s="16">
        <v>7000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f>7000-Y19</f>
        <v>0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</row>
    <row r="20" spans="1:44" x14ac:dyDescent="0.3">
      <c r="A20" s="150"/>
      <c r="B20" s="150"/>
      <c r="C20" s="150"/>
      <c r="D20" s="150"/>
      <c r="E20" s="150"/>
      <c r="F20" s="150"/>
      <c r="G20" s="150"/>
      <c r="H20" s="20">
        <v>228.41</v>
      </c>
      <c r="I20" s="150"/>
      <c r="J20" s="150"/>
      <c r="K20" s="150"/>
      <c r="L20" s="16" t="s">
        <v>185</v>
      </c>
      <c r="M20" s="16" t="s">
        <v>186</v>
      </c>
      <c r="N20" s="16" t="s">
        <v>187</v>
      </c>
      <c r="O20" s="150"/>
      <c r="P20" s="16">
        <v>0</v>
      </c>
      <c r="Q20" s="23">
        <v>0</v>
      </c>
      <c r="R20" s="23">
        <v>0</v>
      </c>
      <c r="S20" s="16">
        <v>0</v>
      </c>
      <c r="T20" s="31">
        <v>0</v>
      </c>
      <c r="U20" s="29">
        <v>280</v>
      </c>
      <c r="V20" s="23">
        <v>25.07</v>
      </c>
      <c r="W20" s="23">
        <v>7.0000000000000007E-2</v>
      </c>
      <c r="X20" s="150"/>
      <c r="Y20" s="16">
        <v>7000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f>7000-Y20</f>
        <v>0</v>
      </c>
      <c r="AG20" s="16"/>
      <c r="AH20" s="16"/>
      <c r="AI20" s="16"/>
      <c r="AJ20" s="33" t="s">
        <v>188</v>
      </c>
      <c r="AK20" s="16"/>
      <c r="AL20" s="16"/>
      <c r="AM20" s="16"/>
      <c r="AN20" s="16"/>
      <c r="AO20" s="16"/>
      <c r="AP20" s="16"/>
      <c r="AQ20" s="16"/>
      <c r="AR20" s="16"/>
    </row>
    <row r="21" spans="1:44" x14ac:dyDescent="0.3">
      <c r="A21" s="150"/>
      <c r="B21" s="150"/>
      <c r="C21" s="150"/>
      <c r="D21" s="150"/>
      <c r="E21" s="150"/>
      <c r="F21" s="150"/>
      <c r="G21" s="150"/>
      <c r="H21" s="20">
        <v>248.88499999999999</v>
      </c>
      <c r="I21" s="150"/>
      <c r="J21" s="150"/>
      <c r="K21" s="150"/>
      <c r="L21" s="16" t="s">
        <v>164</v>
      </c>
      <c r="M21" s="16" t="s">
        <v>165</v>
      </c>
      <c r="N21" s="16" t="s">
        <v>189</v>
      </c>
      <c r="O21" s="150"/>
      <c r="P21" s="16">
        <v>0</v>
      </c>
      <c r="Q21" s="23">
        <v>0</v>
      </c>
      <c r="R21" s="23">
        <v>0</v>
      </c>
      <c r="S21" s="16">
        <v>0</v>
      </c>
      <c r="T21" s="31">
        <v>0</v>
      </c>
      <c r="U21" s="29">
        <v>80</v>
      </c>
      <c r="V21" s="23">
        <v>25.08</v>
      </c>
      <c r="W21" s="23">
        <v>0.08</v>
      </c>
      <c r="X21" s="150"/>
      <c r="Y21" s="16">
        <v>2000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f>AF14-Y21</f>
        <v>18924</v>
      </c>
      <c r="AG21" s="16"/>
      <c r="AH21" s="16"/>
      <c r="AI21" s="16"/>
      <c r="AJ21" s="33" t="s">
        <v>190</v>
      </c>
      <c r="AK21" s="16"/>
      <c r="AL21" s="16"/>
      <c r="AM21" s="16"/>
      <c r="AN21" s="16"/>
      <c r="AO21" s="16"/>
      <c r="AP21" s="16"/>
      <c r="AQ21" s="16"/>
      <c r="AR21" s="16"/>
    </row>
    <row r="22" spans="1:44" x14ac:dyDescent="0.3">
      <c r="A22" s="150"/>
      <c r="B22" s="150"/>
      <c r="C22" s="150"/>
      <c r="D22" s="150"/>
      <c r="E22" s="151"/>
      <c r="F22" s="150"/>
      <c r="G22" s="151"/>
      <c r="H22" s="20">
        <v>260.26</v>
      </c>
      <c r="I22" s="151"/>
      <c r="J22" s="151"/>
      <c r="K22" s="150"/>
      <c r="L22" s="16" t="s">
        <v>124</v>
      </c>
      <c r="M22" s="16" t="s">
        <v>191</v>
      </c>
      <c r="N22" s="16" t="s">
        <v>192</v>
      </c>
      <c r="O22" s="151"/>
      <c r="P22" s="16">
        <v>0</v>
      </c>
      <c r="Q22" s="23">
        <v>0</v>
      </c>
      <c r="R22" s="23">
        <v>0</v>
      </c>
      <c r="S22" s="16">
        <v>0</v>
      </c>
      <c r="T22" s="36">
        <v>0</v>
      </c>
      <c r="U22" s="29">
        <v>36</v>
      </c>
      <c r="V22" s="23">
        <v>25.12</v>
      </c>
      <c r="W22" s="23">
        <v>0.12</v>
      </c>
      <c r="X22" s="151"/>
      <c r="Y22" s="16">
        <v>900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f>900-Y22</f>
        <v>0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</row>
    <row r="23" spans="1:44" x14ac:dyDescent="0.3">
      <c r="A23" s="137" t="s">
        <v>193</v>
      </c>
      <c r="B23" s="137" t="s">
        <v>66</v>
      </c>
      <c r="C23" s="139">
        <v>46120</v>
      </c>
      <c r="D23" s="137" t="s">
        <v>169</v>
      </c>
      <c r="E23" s="165" t="s">
        <v>66</v>
      </c>
      <c r="F23" s="137" t="s">
        <v>66</v>
      </c>
      <c r="G23" s="29" t="s">
        <v>194</v>
      </c>
      <c r="H23" s="20">
        <v>83.48</v>
      </c>
      <c r="I23" s="20">
        <v>805707</v>
      </c>
      <c r="J23" s="145" t="s">
        <v>66</v>
      </c>
      <c r="K23" s="137" t="s">
        <v>8</v>
      </c>
      <c r="L23" s="29" t="s">
        <v>164</v>
      </c>
      <c r="M23" s="16" t="s">
        <v>171</v>
      </c>
      <c r="N23" s="16" t="s">
        <v>172</v>
      </c>
      <c r="O23" s="145" t="s">
        <v>161</v>
      </c>
      <c r="P23" s="16">
        <v>194</v>
      </c>
      <c r="Q23" s="23">
        <v>50.1</v>
      </c>
      <c r="R23" s="23">
        <v>0.1</v>
      </c>
      <c r="S23" s="145">
        <v>19085</v>
      </c>
      <c r="T23" s="41">
        <f>9651-19</f>
        <v>9632</v>
      </c>
      <c r="U23" s="29">
        <v>0</v>
      </c>
      <c r="V23" s="23">
        <v>0</v>
      </c>
      <c r="W23" s="23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f>AF16+T23</f>
        <v>55120</v>
      </c>
      <c r="AG23" s="16"/>
      <c r="AH23" s="16"/>
      <c r="AI23" s="16"/>
      <c r="AJ23" s="51"/>
      <c r="AK23" s="16"/>
      <c r="AL23" s="16"/>
      <c r="AM23" s="16"/>
      <c r="AN23" s="16"/>
      <c r="AO23" s="16"/>
      <c r="AP23" s="16"/>
      <c r="AQ23" s="16"/>
      <c r="AR23" s="16"/>
    </row>
    <row r="24" spans="1:44" x14ac:dyDescent="0.3">
      <c r="A24" s="140"/>
      <c r="B24" s="140"/>
      <c r="C24" s="140"/>
      <c r="D24" s="140"/>
      <c r="E24" s="166"/>
      <c r="F24" s="140"/>
      <c r="G24" s="72" t="s">
        <v>195</v>
      </c>
      <c r="H24" s="73">
        <v>106.78</v>
      </c>
      <c r="I24" s="73">
        <v>541591</v>
      </c>
      <c r="J24" s="146"/>
      <c r="K24" s="140"/>
      <c r="L24" s="72" t="s">
        <v>133</v>
      </c>
      <c r="M24" s="74" t="s">
        <v>134</v>
      </c>
      <c r="N24" s="74" t="s">
        <v>160</v>
      </c>
      <c r="O24" s="146"/>
      <c r="P24" s="74">
        <v>122</v>
      </c>
      <c r="Q24" s="75">
        <v>40.1</v>
      </c>
      <c r="R24" s="75">
        <v>0.1</v>
      </c>
      <c r="S24" s="146"/>
      <c r="T24" s="76">
        <f>4830-12</f>
        <v>4818</v>
      </c>
      <c r="U24" s="72">
        <v>0</v>
      </c>
      <c r="V24" s="75">
        <v>0</v>
      </c>
      <c r="W24" s="75">
        <v>0</v>
      </c>
      <c r="X24" s="74">
        <v>0</v>
      </c>
      <c r="Y24" s="74">
        <v>0</v>
      </c>
      <c r="Z24" s="74">
        <v>0</v>
      </c>
      <c r="AA24" s="74">
        <v>0</v>
      </c>
      <c r="AB24" s="74">
        <v>0</v>
      </c>
      <c r="AC24" s="74">
        <v>0</v>
      </c>
      <c r="AD24" s="74">
        <v>0</v>
      </c>
      <c r="AE24" s="74">
        <v>0</v>
      </c>
      <c r="AF24" s="74">
        <f>AF15+T24</f>
        <v>33651</v>
      </c>
      <c r="AG24" s="26"/>
      <c r="AH24" s="26"/>
      <c r="AI24" s="26"/>
      <c r="AK24" s="26"/>
      <c r="AL24" s="26"/>
      <c r="AM24" s="26"/>
      <c r="AN24" s="26"/>
      <c r="AO24" s="26"/>
      <c r="AP24" s="26"/>
      <c r="AQ24" s="26"/>
      <c r="AR24" s="26"/>
    </row>
    <row r="25" spans="1:44" x14ac:dyDescent="0.3">
      <c r="A25" s="138"/>
      <c r="B25" s="138"/>
      <c r="C25" s="138"/>
      <c r="D25" s="138"/>
      <c r="E25" s="167"/>
      <c r="F25" s="138"/>
      <c r="G25" s="40" t="s">
        <v>14</v>
      </c>
      <c r="H25" s="38">
        <v>151.28</v>
      </c>
      <c r="I25" s="38">
        <v>711859</v>
      </c>
      <c r="J25" s="147"/>
      <c r="K25" s="138"/>
      <c r="L25" s="40" t="s">
        <v>164</v>
      </c>
      <c r="M25" s="37" t="s">
        <v>165</v>
      </c>
      <c r="N25" s="37" t="s">
        <v>160</v>
      </c>
      <c r="O25" s="147"/>
      <c r="P25" s="37">
        <v>77</v>
      </c>
      <c r="Q25" s="39">
        <v>60.11</v>
      </c>
      <c r="R25" s="39">
        <v>0.11</v>
      </c>
      <c r="S25" s="147"/>
      <c r="T25" s="41">
        <f>4481-9</f>
        <v>4472</v>
      </c>
      <c r="U25" s="40">
        <v>0</v>
      </c>
      <c r="V25" s="39">
        <v>0</v>
      </c>
      <c r="W25" s="39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f>AF21+T25</f>
        <v>23396</v>
      </c>
      <c r="AG25" s="37"/>
      <c r="AH25" s="37"/>
      <c r="AI25" s="37"/>
      <c r="AJ25" s="47" t="s">
        <v>166</v>
      </c>
      <c r="AK25" s="37"/>
      <c r="AL25" s="37"/>
      <c r="AM25" s="37"/>
      <c r="AN25" s="37"/>
      <c r="AO25" s="37"/>
      <c r="AP25" s="37"/>
      <c r="AQ25" s="37"/>
      <c r="AR25" s="37"/>
    </row>
    <row r="26" spans="1:44" x14ac:dyDescent="0.3">
      <c r="A26" s="137" t="s">
        <v>196</v>
      </c>
      <c r="B26" s="137" t="s">
        <v>66</v>
      </c>
      <c r="C26" s="139">
        <v>46120</v>
      </c>
      <c r="D26" s="137" t="s">
        <v>197</v>
      </c>
      <c r="E26" s="137" t="s">
        <v>66</v>
      </c>
      <c r="F26" s="137" t="s">
        <v>66</v>
      </c>
      <c r="G26" s="137" t="s">
        <v>198</v>
      </c>
      <c r="H26" s="157">
        <v>93</v>
      </c>
      <c r="I26" s="157">
        <v>3073350</v>
      </c>
      <c r="J26" s="137" t="s">
        <v>66</v>
      </c>
      <c r="K26" s="137" t="s">
        <v>199</v>
      </c>
      <c r="L26" s="137" t="s">
        <v>124</v>
      </c>
      <c r="M26" s="137" t="s">
        <v>142</v>
      </c>
      <c r="N26" s="137" t="s">
        <v>200</v>
      </c>
      <c r="O26" s="137" t="s">
        <v>105</v>
      </c>
      <c r="P26" s="37">
        <v>300</v>
      </c>
      <c r="Q26" s="39">
        <v>50.1</v>
      </c>
      <c r="R26" s="39">
        <v>0.1</v>
      </c>
      <c r="S26" s="137">
        <v>29305</v>
      </c>
      <c r="T26" s="41">
        <v>15000</v>
      </c>
      <c r="U26" s="40">
        <v>0</v>
      </c>
      <c r="V26" s="39">
        <v>0</v>
      </c>
      <c r="W26" s="39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f>AF18+T26</f>
        <v>107765</v>
      </c>
      <c r="AG26" s="37"/>
      <c r="AH26" s="37"/>
      <c r="AI26" s="37"/>
      <c r="AJ26" s="63"/>
      <c r="AK26" s="37"/>
      <c r="AL26" s="37"/>
      <c r="AM26" s="37"/>
      <c r="AN26" s="37"/>
      <c r="AO26" s="37"/>
      <c r="AP26" s="37"/>
      <c r="AQ26" s="37"/>
      <c r="AR26" s="37"/>
    </row>
    <row r="27" spans="1:44" x14ac:dyDescent="0.3">
      <c r="A27" s="140"/>
      <c r="B27" s="140"/>
      <c r="C27" s="140"/>
      <c r="D27" s="140"/>
      <c r="E27" s="140"/>
      <c r="F27" s="140"/>
      <c r="G27" s="140"/>
      <c r="H27" s="138"/>
      <c r="I27" s="140"/>
      <c r="J27" s="140"/>
      <c r="K27" s="140"/>
      <c r="L27" s="140"/>
      <c r="M27" s="138"/>
      <c r="N27" s="138"/>
      <c r="O27" s="138"/>
      <c r="P27" s="37">
        <v>240</v>
      </c>
      <c r="Q27" s="39">
        <v>50.1</v>
      </c>
      <c r="R27" s="39">
        <v>0.1</v>
      </c>
      <c r="S27" s="140"/>
      <c r="T27" s="41">
        <v>12000</v>
      </c>
      <c r="U27" s="40">
        <v>0</v>
      </c>
      <c r="V27" s="39">
        <v>0</v>
      </c>
      <c r="W27" s="39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f>AF26+T27</f>
        <v>119765</v>
      </c>
      <c r="AG27" s="37"/>
      <c r="AH27" s="37"/>
      <c r="AI27" s="53"/>
      <c r="AJ27" s="62"/>
      <c r="AK27" s="40"/>
      <c r="AL27" s="37"/>
      <c r="AM27" s="37"/>
      <c r="AN27" s="37"/>
      <c r="AO27" s="37"/>
      <c r="AP27" s="37"/>
      <c r="AQ27" s="37"/>
      <c r="AR27" s="37"/>
    </row>
    <row r="28" spans="1:44" x14ac:dyDescent="0.3">
      <c r="A28" s="140"/>
      <c r="B28" s="140"/>
      <c r="C28" s="140"/>
      <c r="D28" s="140"/>
      <c r="E28" s="140"/>
      <c r="F28" s="140"/>
      <c r="G28" s="140"/>
      <c r="H28" s="38">
        <v>193</v>
      </c>
      <c r="I28" s="140"/>
      <c r="J28" s="140"/>
      <c r="K28" s="140"/>
      <c r="L28" s="140"/>
      <c r="M28" s="37" t="s">
        <v>201</v>
      </c>
      <c r="N28" s="37" t="s">
        <v>202</v>
      </c>
      <c r="O28" s="37" t="s">
        <v>105</v>
      </c>
      <c r="P28" s="37">
        <v>80</v>
      </c>
      <c r="Q28" s="39">
        <v>25.12</v>
      </c>
      <c r="R28" s="39">
        <v>0.12</v>
      </c>
      <c r="S28" s="140"/>
      <c r="T28" s="41">
        <v>2000</v>
      </c>
      <c r="U28" s="40">
        <v>0</v>
      </c>
      <c r="V28" s="39">
        <v>0</v>
      </c>
      <c r="W28" s="39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f>5000+T28</f>
        <v>7000</v>
      </c>
      <c r="AG28" s="37"/>
      <c r="AH28" s="37"/>
      <c r="AI28" s="53"/>
      <c r="AJ28" s="62"/>
      <c r="AK28" s="40"/>
      <c r="AL28" s="37"/>
      <c r="AM28" s="37"/>
      <c r="AN28" s="37"/>
      <c r="AO28" s="37"/>
      <c r="AP28" s="37"/>
      <c r="AQ28" s="37"/>
      <c r="AR28" s="37"/>
    </row>
    <row r="29" spans="1:44" x14ac:dyDescent="0.3">
      <c r="A29" s="138"/>
      <c r="B29" s="138"/>
      <c r="C29" s="138"/>
      <c r="D29" s="138"/>
      <c r="E29" s="138"/>
      <c r="F29" s="138"/>
      <c r="G29" s="138"/>
      <c r="H29" s="38">
        <v>240</v>
      </c>
      <c r="I29" s="138"/>
      <c r="J29" s="138"/>
      <c r="K29" s="138"/>
      <c r="L29" s="138"/>
      <c r="M29" s="37" t="s">
        <v>191</v>
      </c>
      <c r="N29" s="37" t="s">
        <v>192</v>
      </c>
      <c r="O29" s="37" t="s">
        <v>105</v>
      </c>
      <c r="P29" s="37">
        <v>5</v>
      </c>
      <c r="Q29" s="39">
        <v>25.08</v>
      </c>
      <c r="R29" s="39">
        <v>0.08</v>
      </c>
      <c r="S29" s="138"/>
      <c r="T29" s="41">
        <v>125</v>
      </c>
      <c r="U29" s="40">
        <v>0</v>
      </c>
      <c r="V29" s="39">
        <v>0</v>
      </c>
      <c r="W29" s="39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f>T29</f>
        <v>125</v>
      </c>
      <c r="AG29" s="37"/>
      <c r="AH29" s="37"/>
      <c r="AI29" s="53"/>
      <c r="AJ29" s="62"/>
      <c r="AK29" s="40"/>
      <c r="AL29" s="37"/>
      <c r="AM29" s="37"/>
      <c r="AN29" s="37"/>
      <c r="AO29" s="37"/>
      <c r="AP29" s="37"/>
      <c r="AQ29" s="37"/>
      <c r="AR29" s="37"/>
    </row>
    <row r="30" spans="1:44" x14ac:dyDescent="0.3">
      <c r="A30" s="37" t="s">
        <v>203</v>
      </c>
      <c r="B30" s="37" t="s">
        <v>66</v>
      </c>
      <c r="C30" s="43">
        <v>46120</v>
      </c>
      <c r="D30" s="37" t="s">
        <v>204</v>
      </c>
      <c r="E30" s="37" t="s">
        <v>66</v>
      </c>
      <c r="F30" s="37" t="s">
        <v>66</v>
      </c>
      <c r="G30" s="37">
        <v>4</v>
      </c>
      <c r="H30" s="38">
        <v>75</v>
      </c>
      <c r="I30" s="38">
        <v>2047500</v>
      </c>
      <c r="J30" s="37" t="s">
        <v>66</v>
      </c>
      <c r="K30" s="37" t="s">
        <v>205</v>
      </c>
      <c r="L30" s="37" t="s">
        <v>206</v>
      </c>
      <c r="M30" s="37" t="s">
        <v>142</v>
      </c>
      <c r="N30" s="37" t="s">
        <v>200</v>
      </c>
      <c r="O30" s="37" t="s">
        <v>105</v>
      </c>
      <c r="P30" s="37">
        <v>1040</v>
      </c>
      <c r="Q30" s="39">
        <v>25.12</v>
      </c>
      <c r="R30" s="39">
        <v>0.12</v>
      </c>
      <c r="S30" s="37">
        <v>26315</v>
      </c>
      <c r="T30" s="41">
        <v>26000</v>
      </c>
      <c r="U30" s="40">
        <v>0</v>
      </c>
      <c r="V30" s="39">
        <v>0</v>
      </c>
      <c r="W30" s="39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f>AF27+T30</f>
        <v>145765</v>
      </c>
      <c r="AG30" s="37"/>
      <c r="AH30" s="37"/>
      <c r="AI30" s="37"/>
      <c r="AJ30" s="26"/>
      <c r="AK30" s="37"/>
      <c r="AL30" s="37"/>
      <c r="AM30" s="37"/>
      <c r="AN30" s="37"/>
      <c r="AO30" s="37"/>
      <c r="AP30" s="37"/>
      <c r="AQ30" s="37"/>
      <c r="AR30" s="37"/>
    </row>
    <row r="31" spans="1:44" x14ac:dyDescent="0.3">
      <c r="A31" s="37" t="s">
        <v>66</v>
      </c>
      <c r="B31" s="37" t="s">
        <v>207</v>
      </c>
      <c r="C31" s="43">
        <v>46120</v>
      </c>
      <c r="D31" s="37" t="s">
        <v>208</v>
      </c>
      <c r="E31" s="37" t="s">
        <v>209</v>
      </c>
      <c r="F31" s="37" t="s">
        <v>210</v>
      </c>
      <c r="G31" s="37" t="s">
        <v>211</v>
      </c>
      <c r="H31" s="44">
        <v>112.0145</v>
      </c>
      <c r="I31" s="38">
        <v>3024391.5</v>
      </c>
      <c r="J31" s="37" t="s">
        <v>212</v>
      </c>
      <c r="K31" s="37" t="s">
        <v>213</v>
      </c>
      <c r="L31" s="37" t="s">
        <v>124</v>
      </c>
      <c r="M31" s="37" t="s">
        <v>116</v>
      </c>
      <c r="N31" s="37" t="s">
        <v>214</v>
      </c>
      <c r="O31" s="37" t="s">
        <v>105</v>
      </c>
      <c r="P31" s="37">
        <v>0</v>
      </c>
      <c r="Q31" s="39">
        <v>0</v>
      </c>
      <c r="R31" s="39">
        <v>0</v>
      </c>
      <c r="S31" s="37">
        <v>0</v>
      </c>
      <c r="T31" s="41">
        <v>0</v>
      </c>
      <c r="U31" s="40">
        <v>1080</v>
      </c>
      <c r="V31" s="39">
        <v>25.12</v>
      </c>
      <c r="W31" s="39">
        <v>0.12</v>
      </c>
      <c r="X31" s="37">
        <v>27250</v>
      </c>
      <c r="Y31" s="37">
        <v>27000</v>
      </c>
      <c r="Z31" s="37">
        <v>0</v>
      </c>
      <c r="AA31" s="37">
        <v>0</v>
      </c>
      <c r="AB31" s="37">
        <v>0</v>
      </c>
      <c r="AC31" s="37">
        <v>0</v>
      </c>
      <c r="AD31" s="37">
        <v>0</v>
      </c>
      <c r="AE31" s="37">
        <v>0</v>
      </c>
      <c r="AF31" s="47">
        <f>AF17-Y31</f>
        <v>1800</v>
      </c>
      <c r="AG31" s="37"/>
      <c r="AH31" s="37"/>
      <c r="AI31" s="37"/>
      <c r="AJ31" s="42"/>
      <c r="AK31" s="37"/>
      <c r="AL31" s="37"/>
      <c r="AM31" s="37"/>
      <c r="AN31" s="37"/>
      <c r="AO31" s="37"/>
      <c r="AP31" s="37"/>
      <c r="AQ31" s="37"/>
      <c r="AR31" s="37"/>
    </row>
    <row r="32" spans="1:44" x14ac:dyDescent="0.3">
      <c r="A32" s="137" t="s">
        <v>215</v>
      </c>
      <c r="B32" s="137" t="s">
        <v>66</v>
      </c>
      <c r="C32" s="139">
        <v>46304</v>
      </c>
      <c r="D32" s="137" t="s">
        <v>216</v>
      </c>
      <c r="E32" s="137" t="s">
        <v>66</v>
      </c>
      <c r="F32" s="137" t="s">
        <v>66</v>
      </c>
      <c r="G32" s="77" t="s">
        <v>217</v>
      </c>
      <c r="H32" s="78">
        <v>106.5</v>
      </c>
      <c r="I32" s="78">
        <v>654512</v>
      </c>
      <c r="J32" s="137" t="s">
        <v>66</v>
      </c>
      <c r="K32" s="137" t="s">
        <v>8</v>
      </c>
      <c r="L32" s="77" t="s">
        <v>133</v>
      </c>
      <c r="M32" s="77" t="s">
        <v>134</v>
      </c>
      <c r="N32" s="77" t="s">
        <v>160</v>
      </c>
      <c r="O32" s="137" t="s">
        <v>105</v>
      </c>
      <c r="P32" s="77">
        <v>150</v>
      </c>
      <c r="Q32" s="79">
        <v>40.1</v>
      </c>
      <c r="R32" s="79">
        <v>0.1</v>
      </c>
      <c r="S32" s="137">
        <v>8015</v>
      </c>
      <c r="T32" s="76">
        <f>5853-15</f>
        <v>5838</v>
      </c>
      <c r="U32" s="80">
        <v>0</v>
      </c>
      <c r="V32" s="79">
        <v>0</v>
      </c>
      <c r="W32" s="79">
        <v>0</v>
      </c>
      <c r="X32" s="77">
        <v>0</v>
      </c>
      <c r="Y32" s="77">
        <v>0</v>
      </c>
      <c r="Z32" s="77">
        <v>0</v>
      </c>
      <c r="AA32" s="77">
        <v>0</v>
      </c>
      <c r="AB32" s="77">
        <v>0</v>
      </c>
      <c r="AC32" s="77">
        <v>0</v>
      </c>
      <c r="AD32" s="77">
        <v>0</v>
      </c>
      <c r="AE32" s="77">
        <v>0</v>
      </c>
      <c r="AF32" s="77">
        <f>AF24+T32</f>
        <v>39489</v>
      </c>
      <c r="AG32" s="37"/>
      <c r="AH32" s="37"/>
      <c r="AI32" s="37"/>
      <c r="AK32" s="37"/>
      <c r="AL32" s="37"/>
      <c r="AM32" s="37"/>
      <c r="AN32" s="37"/>
      <c r="AO32" s="37"/>
      <c r="AP32" s="37"/>
      <c r="AQ32" s="37"/>
      <c r="AR32" s="37"/>
    </row>
    <row r="33" spans="1:44" x14ac:dyDescent="0.3">
      <c r="A33" s="138"/>
      <c r="B33" s="138"/>
      <c r="C33" s="138"/>
      <c r="D33" s="138"/>
      <c r="E33" s="138"/>
      <c r="F33" s="138"/>
      <c r="G33" s="37" t="s">
        <v>15</v>
      </c>
      <c r="H33" s="38">
        <v>155.6</v>
      </c>
      <c r="I33" s="38">
        <v>347591</v>
      </c>
      <c r="J33" s="138"/>
      <c r="K33" s="138"/>
      <c r="L33" s="37" t="s">
        <v>164</v>
      </c>
      <c r="M33" s="37" t="s">
        <v>165</v>
      </c>
      <c r="N33" s="37" t="s">
        <v>160</v>
      </c>
      <c r="O33" s="138"/>
      <c r="P33" s="37">
        <v>45</v>
      </c>
      <c r="Q33" s="39">
        <v>60.11</v>
      </c>
      <c r="R33" s="39">
        <v>0.11</v>
      </c>
      <c r="S33" s="138"/>
      <c r="T33" s="41">
        <f>2127-5</f>
        <v>2122</v>
      </c>
      <c r="U33" s="40">
        <v>0</v>
      </c>
      <c r="V33" s="39">
        <v>0</v>
      </c>
      <c r="W33" s="39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  <c r="AD33" s="37">
        <v>0</v>
      </c>
      <c r="AE33" s="37">
        <v>0</v>
      </c>
      <c r="AF33" s="37">
        <f>AF25+T33</f>
        <v>25518</v>
      </c>
      <c r="AG33" s="37"/>
      <c r="AH33" s="37"/>
      <c r="AI33" s="37"/>
      <c r="AJ33" s="47" t="s">
        <v>166</v>
      </c>
      <c r="AK33" s="37"/>
      <c r="AL33" s="37"/>
      <c r="AM33" s="37"/>
      <c r="AN33" s="37"/>
      <c r="AO33" s="37"/>
      <c r="AP33" s="37"/>
      <c r="AQ33" s="37"/>
      <c r="AR33" s="37"/>
    </row>
    <row r="34" spans="1:44" x14ac:dyDescent="0.3">
      <c r="A34" s="137" t="s">
        <v>218</v>
      </c>
      <c r="B34" s="137" t="s">
        <v>66</v>
      </c>
      <c r="C34" s="139">
        <v>46123</v>
      </c>
      <c r="D34" s="137" t="s">
        <v>219</v>
      </c>
      <c r="E34" s="137" t="s">
        <v>66</v>
      </c>
      <c r="F34" s="137" t="s">
        <v>66</v>
      </c>
      <c r="G34" s="37" t="s">
        <v>16</v>
      </c>
      <c r="H34" s="38">
        <v>155.59</v>
      </c>
      <c r="I34" s="38">
        <v>388003</v>
      </c>
      <c r="J34" s="137" t="s">
        <v>66</v>
      </c>
      <c r="K34" s="137" t="s">
        <v>8</v>
      </c>
      <c r="L34" s="137" t="s">
        <v>164</v>
      </c>
      <c r="M34" s="137" t="s">
        <v>165</v>
      </c>
      <c r="N34" s="137" t="s">
        <v>160</v>
      </c>
      <c r="O34" s="137" t="s">
        <v>105</v>
      </c>
      <c r="P34" s="37">
        <v>44</v>
      </c>
      <c r="Q34" s="39">
        <v>60.11</v>
      </c>
      <c r="R34" s="39">
        <v>0.11</v>
      </c>
      <c r="S34" s="137">
        <v>8650</v>
      </c>
      <c r="T34" s="41">
        <f>2375--5</f>
        <v>2380</v>
      </c>
      <c r="U34" s="40">
        <v>0</v>
      </c>
      <c r="V34" s="39">
        <v>0</v>
      </c>
      <c r="W34" s="39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f>AF33+T34</f>
        <v>27898</v>
      </c>
      <c r="AG34" s="37"/>
      <c r="AH34" s="37"/>
      <c r="AI34" s="37"/>
      <c r="AJ34" s="47" t="s">
        <v>166</v>
      </c>
      <c r="AK34" s="37"/>
      <c r="AL34" s="37"/>
      <c r="AM34" s="37"/>
      <c r="AN34" s="37"/>
      <c r="AO34" s="37"/>
      <c r="AP34" s="37"/>
      <c r="AQ34" s="37"/>
      <c r="AR34" s="37"/>
    </row>
    <row r="35" spans="1:44" x14ac:dyDescent="0.3">
      <c r="A35" s="138"/>
      <c r="B35" s="138"/>
      <c r="C35" s="138"/>
      <c r="D35" s="138"/>
      <c r="E35" s="138"/>
      <c r="F35" s="138"/>
      <c r="G35" s="37" t="s">
        <v>17</v>
      </c>
      <c r="H35" s="38">
        <v>155.4</v>
      </c>
      <c r="I35" s="38">
        <v>1020139</v>
      </c>
      <c r="J35" s="138"/>
      <c r="K35" s="138"/>
      <c r="L35" s="138"/>
      <c r="M35" s="138"/>
      <c r="N35" s="138"/>
      <c r="O35" s="138"/>
      <c r="P35" s="37">
        <v>104</v>
      </c>
      <c r="Q35" s="39">
        <v>60.11</v>
      </c>
      <c r="R35" s="39">
        <v>0.11</v>
      </c>
      <c r="S35" s="138"/>
      <c r="T35" s="41">
        <f>6252-12</f>
        <v>6240</v>
      </c>
      <c r="U35" s="40">
        <v>0</v>
      </c>
      <c r="V35" s="39">
        <v>0</v>
      </c>
      <c r="W35" s="39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>
        <f>AF34+T35</f>
        <v>34138</v>
      </c>
      <c r="AG35" s="37"/>
      <c r="AH35" s="37"/>
      <c r="AI35" s="37"/>
      <c r="AJ35" s="54" t="s">
        <v>166</v>
      </c>
      <c r="AK35" s="37"/>
      <c r="AL35" s="37"/>
      <c r="AM35" s="37"/>
      <c r="AN35" s="37"/>
      <c r="AO35" s="37"/>
      <c r="AP35" s="37"/>
      <c r="AQ35" s="37"/>
      <c r="AR35" s="37"/>
    </row>
    <row r="36" spans="1:44" x14ac:dyDescent="0.3">
      <c r="A36" s="37" t="s">
        <v>220</v>
      </c>
      <c r="B36" s="37" t="s">
        <v>66</v>
      </c>
      <c r="C36" s="43">
        <v>46127</v>
      </c>
      <c r="D36" s="37" t="s">
        <v>221</v>
      </c>
      <c r="E36" s="37" t="s">
        <v>66</v>
      </c>
      <c r="F36" s="37" t="s">
        <v>66</v>
      </c>
      <c r="G36" s="37" t="s">
        <v>222</v>
      </c>
      <c r="H36" s="38">
        <v>158</v>
      </c>
      <c r="I36" s="38">
        <v>961970</v>
      </c>
      <c r="J36" s="37" t="s">
        <v>223</v>
      </c>
      <c r="K36" s="37" t="s">
        <v>224</v>
      </c>
      <c r="L36" s="37" t="s">
        <v>225</v>
      </c>
      <c r="M36" s="37" t="s">
        <v>226</v>
      </c>
      <c r="N36" s="37" t="s">
        <v>227</v>
      </c>
      <c r="O36" s="37" t="s">
        <v>105</v>
      </c>
      <c r="P36" s="37">
        <v>300</v>
      </c>
      <c r="Q36" s="39">
        <v>21.1</v>
      </c>
      <c r="R36" s="39">
        <v>1.1000000000000001</v>
      </c>
      <c r="S36" s="37">
        <v>6340</v>
      </c>
      <c r="T36" s="41">
        <v>6000</v>
      </c>
      <c r="U36" s="40">
        <v>0</v>
      </c>
      <c r="V36" s="39">
        <v>0</v>
      </c>
      <c r="W36" s="39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  <c r="AD36" s="37">
        <v>0</v>
      </c>
      <c r="AE36" s="37">
        <v>0</v>
      </c>
      <c r="AF36" s="37">
        <f>T36</f>
        <v>6000</v>
      </c>
      <c r="AG36" s="37"/>
      <c r="AH36" s="37"/>
      <c r="AI36" s="53"/>
      <c r="AJ36" s="62"/>
      <c r="AK36" s="40"/>
      <c r="AL36" s="37"/>
      <c r="AM36" s="37"/>
      <c r="AN36" s="37"/>
      <c r="AO36" s="37"/>
      <c r="AP36" s="37"/>
      <c r="AQ36" s="37"/>
      <c r="AR36" s="37"/>
    </row>
    <row r="37" spans="1:44" x14ac:dyDescent="0.3">
      <c r="A37" s="137" t="s">
        <v>228</v>
      </c>
      <c r="B37" s="137" t="s">
        <v>66</v>
      </c>
      <c r="C37" s="139">
        <v>46127</v>
      </c>
      <c r="D37" s="137" t="s">
        <v>229</v>
      </c>
      <c r="E37" s="137" t="s">
        <v>66</v>
      </c>
      <c r="F37" s="137" t="s">
        <v>66</v>
      </c>
      <c r="G37" s="37" t="s">
        <v>230</v>
      </c>
      <c r="H37" s="38">
        <v>85.9</v>
      </c>
      <c r="I37" s="38">
        <v>925744</v>
      </c>
      <c r="J37" s="37" t="s">
        <v>66</v>
      </c>
      <c r="K37" s="137" t="s">
        <v>8</v>
      </c>
      <c r="L37" s="37" t="s">
        <v>164</v>
      </c>
      <c r="M37" s="37" t="s">
        <v>171</v>
      </c>
      <c r="N37" s="37" t="s">
        <v>172</v>
      </c>
      <c r="O37" s="37" t="s">
        <v>161</v>
      </c>
      <c r="P37" s="37">
        <v>217</v>
      </c>
      <c r="Q37" s="39">
        <v>50.1</v>
      </c>
      <c r="R37" s="39">
        <v>0.1</v>
      </c>
      <c r="S37" s="137">
        <v>15545</v>
      </c>
      <c r="T37" s="41">
        <f>10777-21</f>
        <v>10756</v>
      </c>
      <c r="U37" s="40">
        <v>0</v>
      </c>
      <c r="V37" s="39">
        <v>0</v>
      </c>
      <c r="W37" s="39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f>AF23+T37</f>
        <v>65876</v>
      </c>
      <c r="AG37" s="37"/>
      <c r="AH37" s="37"/>
      <c r="AI37" s="37"/>
      <c r="AK37" s="37"/>
      <c r="AL37" s="37"/>
      <c r="AM37" s="37"/>
      <c r="AN37" s="37"/>
      <c r="AO37" s="37"/>
      <c r="AP37" s="37"/>
      <c r="AQ37" s="37"/>
      <c r="AR37" s="37"/>
    </row>
    <row r="38" spans="1:44" x14ac:dyDescent="0.3">
      <c r="A38" s="138"/>
      <c r="B38" s="138"/>
      <c r="C38" s="138"/>
      <c r="D38" s="138"/>
      <c r="E38" s="138"/>
      <c r="F38" s="138"/>
      <c r="G38" s="37" t="s">
        <v>18</v>
      </c>
      <c r="H38" s="38">
        <v>144.96</v>
      </c>
      <c r="I38" s="38">
        <v>722151</v>
      </c>
      <c r="J38" s="37" t="s">
        <v>66</v>
      </c>
      <c r="K38" s="138"/>
      <c r="L38" s="37" t="s">
        <v>164</v>
      </c>
      <c r="M38" s="37" t="s">
        <v>165</v>
      </c>
      <c r="N38" s="37" t="s">
        <v>160</v>
      </c>
      <c r="O38" s="37" t="s">
        <v>161</v>
      </c>
      <c r="P38" s="37">
        <v>81</v>
      </c>
      <c r="Q38" s="39">
        <v>60.11</v>
      </c>
      <c r="R38" s="39">
        <v>0.11</v>
      </c>
      <c r="S38" s="138"/>
      <c r="T38" s="41">
        <f>4744-8</f>
        <v>4736</v>
      </c>
      <c r="U38" s="40">
        <v>0</v>
      </c>
      <c r="V38" s="39">
        <v>0</v>
      </c>
      <c r="W38" s="39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f>AF35+T38</f>
        <v>38874</v>
      </c>
      <c r="AG38" s="37"/>
      <c r="AH38" s="37"/>
      <c r="AI38" s="37"/>
      <c r="AJ38" s="47" t="s">
        <v>166</v>
      </c>
      <c r="AK38" s="37"/>
      <c r="AL38" s="37"/>
      <c r="AM38" s="37"/>
      <c r="AN38" s="37"/>
      <c r="AO38" s="37"/>
      <c r="AP38" s="37"/>
      <c r="AQ38" s="37"/>
      <c r="AR38" s="37"/>
    </row>
    <row r="39" spans="1:44" x14ac:dyDescent="0.3">
      <c r="A39" s="137" t="s">
        <v>231</v>
      </c>
      <c r="B39" s="137" t="s">
        <v>66</v>
      </c>
      <c r="C39" s="139">
        <v>46128</v>
      </c>
      <c r="D39" s="137" t="s">
        <v>232</v>
      </c>
      <c r="E39" s="137" t="s">
        <v>66</v>
      </c>
      <c r="F39" s="137" t="s">
        <v>66</v>
      </c>
      <c r="G39" s="37" t="s">
        <v>19</v>
      </c>
      <c r="H39" s="38">
        <v>154.56</v>
      </c>
      <c r="I39" s="38">
        <v>599492</v>
      </c>
      <c r="J39" s="137" t="s">
        <v>66</v>
      </c>
      <c r="K39" s="137" t="s">
        <v>8</v>
      </c>
      <c r="L39" s="137" t="s">
        <v>164</v>
      </c>
      <c r="M39" s="137" t="s">
        <v>165</v>
      </c>
      <c r="N39" s="137" t="s">
        <v>160</v>
      </c>
      <c r="O39" s="137" t="s">
        <v>161</v>
      </c>
      <c r="P39" s="37">
        <v>69</v>
      </c>
      <c r="Q39" s="39">
        <v>60.11</v>
      </c>
      <c r="R39" s="39">
        <v>0.11</v>
      </c>
      <c r="S39" s="137">
        <v>11265</v>
      </c>
      <c r="T39" s="41">
        <f>3694-8</f>
        <v>3686</v>
      </c>
      <c r="U39" s="40">
        <v>0</v>
      </c>
      <c r="V39" s="39">
        <v>0</v>
      </c>
      <c r="W39" s="39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f>AF38+T39</f>
        <v>42560</v>
      </c>
      <c r="AG39" s="37"/>
      <c r="AH39" s="37"/>
      <c r="AI39" s="37"/>
      <c r="AJ39" s="47" t="s">
        <v>166</v>
      </c>
      <c r="AK39" s="37"/>
      <c r="AL39" s="37"/>
      <c r="AM39" s="37"/>
      <c r="AN39" s="37"/>
      <c r="AO39" s="37"/>
      <c r="AP39" s="37"/>
      <c r="AQ39" s="37"/>
      <c r="AR39" s="37"/>
    </row>
    <row r="40" spans="1:44" x14ac:dyDescent="0.3">
      <c r="A40" s="140"/>
      <c r="B40" s="140"/>
      <c r="C40" s="140"/>
      <c r="D40" s="140"/>
      <c r="E40" s="140"/>
      <c r="F40" s="140"/>
      <c r="G40" s="37" t="s">
        <v>20</v>
      </c>
      <c r="H40" s="38">
        <v>144.19</v>
      </c>
      <c r="I40" s="38">
        <v>542237</v>
      </c>
      <c r="J40" s="140"/>
      <c r="K40" s="140"/>
      <c r="L40" s="138"/>
      <c r="M40" s="138"/>
      <c r="N40" s="140"/>
      <c r="O40" s="140"/>
      <c r="P40" s="37">
        <v>65</v>
      </c>
      <c r="Q40" s="39">
        <v>60.11</v>
      </c>
      <c r="R40" s="39">
        <v>0.11</v>
      </c>
      <c r="S40" s="140"/>
      <c r="T40" s="41">
        <f>3581-7</f>
        <v>3574</v>
      </c>
      <c r="U40" s="40">
        <v>0</v>
      </c>
      <c r="V40" s="39">
        <v>0</v>
      </c>
      <c r="W40" s="39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f>AF39+T40</f>
        <v>46134</v>
      </c>
      <c r="AG40" s="37"/>
      <c r="AH40" s="37"/>
      <c r="AI40" s="37"/>
      <c r="AJ40" s="54" t="s">
        <v>166</v>
      </c>
      <c r="AK40" s="37"/>
      <c r="AL40" s="37"/>
      <c r="AM40" s="37"/>
      <c r="AN40" s="37"/>
      <c r="AO40" s="37"/>
      <c r="AP40" s="37"/>
      <c r="AQ40" s="37"/>
      <c r="AR40" s="37"/>
    </row>
    <row r="41" spans="1:44" x14ac:dyDescent="0.3">
      <c r="A41" s="138"/>
      <c r="B41" s="138"/>
      <c r="C41" s="138"/>
      <c r="D41" s="138"/>
      <c r="E41" s="138"/>
      <c r="F41" s="138"/>
      <c r="G41" s="37" t="s">
        <v>233</v>
      </c>
      <c r="H41" s="38">
        <v>99.61</v>
      </c>
      <c r="I41" s="38">
        <v>412296</v>
      </c>
      <c r="J41" s="138"/>
      <c r="K41" s="138"/>
      <c r="L41" s="37" t="s">
        <v>133</v>
      </c>
      <c r="M41" s="37" t="s">
        <v>134</v>
      </c>
      <c r="N41" s="138"/>
      <c r="O41" s="138"/>
      <c r="P41" s="37">
        <v>99</v>
      </c>
      <c r="Q41" s="39">
        <v>40.1</v>
      </c>
      <c r="R41" s="39">
        <v>0.1</v>
      </c>
      <c r="S41" s="138"/>
      <c r="T41" s="41">
        <f>3942-10</f>
        <v>3932</v>
      </c>
      <c r="U41" s="40">
        <v>0</v>
      </c>
      <c r="V41" s="39">
        <v>0</v>
      </c>
      <c r="W41" s="39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  <c r="AD41" s="37">
        <v>0</v>
      </c>
      <c r="AE41" s="37">
        <v>0</v>
      </c>
      <c r="AF41" s="37">
        <f>AF32+T41</f>
        <v>43421</v>
      </c>
      <c r="AG41" s="37"/>
      <c r="AH41" s="37"/>
      <c r="AI41" s="53"/>
      <c r="AJ41" s="62"/>
      <c r="AK41" s="40"/>
      <c r="AL41" s="37"/>
      <c r="AM41" s="37"/>
      <c r="AN41" s="37"/>
      <c r="AO41" s="37"/>
      <c r="AP41" s="37"/>
      <c r="AQ41" s="37"/>
      <c r="AR41" s="37"/>
    </row>
    <row r="42" spans="1:44" x14ac:dyDescent="0.3">
      <c r="A42" s="137" t="s">
        <v>234</v>
      </c>
      <c r="B42" s="137" t="s">
        <v>66</v>
      </c>
      <c r="C42" s="139">
        <v>46131</v>
      </c>
      <c r="D42" s="137" t="s">
        <v>235</v>
      </c>
      <c r="E42" s="137" t="s">
        <v>66</v>
      </c>
      <c r="F42" s="137" t="s">
        <v>66</v>
      </c>
      <c r="G42" s="37" t="s">
        <v>236</v>
      </c>
      <c r="H42" s="38">
        <v>94.06</v>
      </c>
      <c r="I42" s="38">
        <v>355152</v>
      </c>
      <c r="J42" s="137" t="s">
        <v>66</v>
      </c>
      <c r="K42" s="137" t="s">
        <v>8</v>
      </c>
      <c r="L42" s="37" t="s">
        <v>133</v>
      </c>
      <c r="M42" s="37" t="s">
        <v>134</v>
      </c>
      <c r="N42" s="137" t="s">
        <v>160</v>
      </c>
      <c r="O42" s="137" t="s">
        <v>161</v>
      </c>
      <c r="P42" s="37">
        <v>91</v>
      </c>
      <c r="Q42" s="39">
        <v>40.1</v>
      </c>
      <c r="R42" s="39">
        <v>0.1</v>
      </c>
      <c r="S42" s="137">
        <v>17250</v>
      </c>
      <c r="T42" s="41">
        <f>3596-9</f>
        <v>3587</v>
      </c>
      <c r="U42" s="40">
        <v>0</v>
      </c>
      <c r="V42" s="39">
        <v>0</v>
      </c>
      <c r="W42" s="39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f>AF41+T42</f>
        <v>47008</v>
      </c>
      <c r="AG42" s="37"/>
      <c r="AH42" s="37"/>
      <c r="AI42" s="37"/>
      <c r="AK42" s="37"/>
      <c r="AL42" s="37"/>
      <c r="AM42" s="37"/>
      <c r="AN42" s="37"/>
      <c r="AO42" s="37"/>
      <c r="AP42" s="37"/>
      <c r="AQ42" s="37"/>
      <c r="AR42" s="37"/>
    </row>
    <row r="43" spans="1:44" x14ac:dyDescent="0.3">
      <c r="A43" s="138"/>
      <c r="B43" s="138"/>
      <c r="C43" s="138"/>
      <c r="D43" s="138"/>
      <c r="E43" s="138"/>
      <c r="F43" s="138"/>
      <c r="G43" s="37" t="s">
        <v>21</v>
      </c>
      <c r="H43" s="38">
        <v>153.76</v>
      </c>
      <c r="I43" s="38">
        <v>2214421</v>
      </c>
      <c r="J43" s="138"/>
      <c r="K43" s="138"/>
      <c r="L43" s="37" t="s">
        <v>164</v>
      </c>
      <c r="M43" s="37" t="s">
        <v>165</v>
      </c>
      <c r="N43" s="138"/>
      <c r="O43" s="138"/>
      <c r="P43" s="37">
        <v>233</v>
      </c>
      <c r="Q43" s="39">
        <v>60.11</v>
      </c>
      <c r="R43" s="39">
        <v>0.11</v>
      </c>
      <c r="S43" s="138"/>
      <c r="T43" s="41">
        <f>13716-26</f>
        <v>13690</v>
      </c>
      <c r="U43" s="40">
        <v>0</v>
      </c>
      <c r="V43" s="39">
        <v>0</v>
      </c>
      <c r="W43" s="39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f>AF40+T43</f>
        <v>59824</v>
      </c>
      <c r="AG43" s="37"/>
      <c r="AH43" s="37"/>
      <c r="AI43" s="37"/>
      <c r="AJ43" s="47" t="s">
        <v>166</v>
      </c>
      <c r="AK43" s="37"/>
      <c r="AL43" s="37"/>
      <c r="AM43" s="37"/>
      <c r="AN43" s="37"/>
      <c r="AO43" s="37"/>
      <c r="AP43" s="37"/>
      <c r="AQ43" s="37"/>
      <c r="AR43" s="37"/>
    </row>
    <row r="44" spans="1:44" x14ac:dyDescent="0.3">
      <c r="A44" s="37" t="s">
        <v>237</v>
      </c>
      <c r="B44" s="37" t="s">
        <v>66</v>
      </c>
      <c r="C44" s="43">
        <v>46133</v>
      </c>
      <c r="D44" s="37" t="s">
        <v>169</v>
      </c>
      <c r="E44" s="37" t="s">
        <v>66</v>
      </c>
      <c r="F44" s="37" t="s">
        <v>66</v>
      </c>
      <c r="G44" s="37" t="s">
        <v>22</v>
      </c>
      <c r="H44" s="38">
        <v>165.33</v>
      </c>
      <c r="I44" s="38">
        <v>3900974</v>
      </c>
      <c r="J44" s="37" t="s">
        <v>66</v>
      </c>
      <c r="K44" s="37" t="s">
        <v>8</v>
      </c>
      <c r="L44" s="37" t="s">
        <v>164</v>
      </c>
      <c r="M44" s="37" t="s">
        <v>165</v>
      </c>
      <c r="N44" s="37" t="s">
        <v>160</v>
      </c>
      <c r="O44" s="37" t="s">
        <v>161</v>
      </c>
      <c r="P44" s="37">
        <v>379</v>
      </c>
      <c r="Q44" s="39">
        <v>60.11</v>
      </c>
      <c r="R44" s="39">
        <v>0.11</v>
      </c>
      <c r="S44" s="37">
        <v>22455</v>
      </c>
      <c r="T44" s="41">
        <v>22413</v>
      </c>
      <c r="U44" s="40">
        <v>0</v>
      </c>
      <c r="V44" s="39">
        <v>0</v>
      </c>
      <c r="W44" s="39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f>AF43+T44</f>
        <v>82237</v>
      </c>
      <c r="AG44" s="37"/>
      <c r="AH44" s="37"/>
      <c r="AI44" s="37"/>
      <c r="AJ44" s="47" t="s">
        <v>166</v>
      </c>
      <c r="AK44" s="37"/>
      <c r="AL44" s="37"/>
      <c r="AM44" s="37"/>
      <c r="AN44" s="37"/>
      <c r="AO44" s="37"/>
      <c r="AP44" s="37"/>
      <c r="AQ44" s="37"/>
      <c r="AR44" s="37"/>
    </row>
    <row r="45" spans="1:44" x14ac:dyDescent="0.3">
      <c r="A45" s="37" t="s">
        <v>66</v>
      </c>
      <c r="B45" s="37" t="s">
        <v>238</v>
      </c>
      <c r="C45" s="43">
        <v>46133</v>
      </c>
      <c r="D45" s="37" t="s">
        <v>239</v>
      </c>
      <c r="E45" s="37" t="s">
        <v>240</v>
      </c>
      <c r="F45" s="37" t="s">
        <v>241</v>
      </c>
      <c r="G45" s="37" t="s">
        <v>242</v>
      </c>
      <c r="H45" s="50">
        <v>97.646730000000005</v>
      </c>
      <c r="I45" s="38">
        <v>2636461.71</v>
      </c>
      <c r="J45" s="37" t="s">
        <v>243</v>
      </c>
      <c r="K45" s="37" t="s">
        <v>213</v>
      </c>
      <c r="L45" s="37" t="s">
        <v>244</v>
      </c>
      <c r="M45" s="47" t="s">
        <v>142</v>
      </c>
      <c r="N45" s="37" t="s">
        <v>245</v>
      </c>
      <c r="O45" s="37" t="s">
        <v>105</v>
      </c>
      <c r="P45" s="37">
        <v>0</v>
      </c>
      <c r="Q45" s="39">
        <v>0</v>
      </c>
      <c r="R45" s="39">
        <v>0</v>
      </c>
      <c r="S45" s="37">
        <v>0</v>
      </c>
      <c r="T45" s="41">
        <v>0</v>
      </c>
      <c r="U45" s="40">
        <v>1080</v>
      </c>
      <c r="V45" s="39">
        <v>25.12</v>
      </c>
      <c r="W45" s="39">
        <v>0.12</v>
      </c>
      <c r="X45" s="37">
        <v>27210</v>
      </c>
      <c r="Y45" s="37">
        <v>27000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7">
        <f>AF30-Y45</f>
        <v>118765</v>
      </c>
      <c r="AG45" s="37"/>
      <c r="AH45" s="37"/>
      <c r="AI45" s="37"/>
      <c r="AK45" s="37"/>
      <c r="AL45" s="37"/>
      <c r="AM45" s="37"/>
      <c r="AN45" s="37"/>
      <c r="AO45" s="37"/>
      <c r="AP45" s="37"/>
      <c r="AQ45" s="37"/>
      <c r="AR45" s="37"/>
    </row>
    <row r="46" spans="1:44" x14ac:dyDescent="0.3">
      <c r="A46" s="137" t="s">
        <v>246</v>
      </c>
      <c r="B46" s="137" t="s">
        <v>66</v>
      </c>
      <c r="C46" s="139">
        <v>46135</v>
      </c>
      <c r="D46" s="137" t="s">
        <v>247</v>
      </c>
      <c r="E46" s="137" t="s">
        <v>66</v>
      </c>
      <c r="F46" s="137" t="s">
        <v>66</v>
      </c>
      <c r="G46" s="37" t="s">
        <v>23</v>
      </c>
      <c r="H46" s="38">
        <v>164.41</v>
      </c>
      <c r="I46" s="38">
        <v>523070</v>
      </c>
      <c r="J46" s="37" t="s">
        <v>66</v>
      </c>
      <c r="K46" s="137" t="s">
        <v>8</v>
      </c>
      <c r="L46" s="137" t="s">
        <v>164</v>
      </c>
      <c r="M46" s="137" t="s">
        <v>165</v>
      </c>
      <c r="N46" s="137" t="s">
        <v>160</v>
      </c>
      <c r="O46" s="137" t="s">
        <v>161</v>
      </c>
      <c r="P46" s="37">
        <v>64</v>
      </c>
      <c r="Q46" s="39">
        <v>60.11</v>
      </c>
      <c r="R46" s="39">
        <v>0.11</v>
      </c>
      <c r="S46" s="137">
        <v>11220</v>
      </c>
      <c r="T46" s="41">
        <f>3030-7</f>
        <v>3023</v>
      </c>
      <c r="U46" s="40">
        <v>0</v>
      </c>
      <c r="V46" s="39">
        <v>0</v>
      </c>
      <c r="W46" s="39">
        <v>0</v>
      </c>
      <c r="X46" s="37">
        <v>0</v>
      </c>
      <c r="Y46" s="37">
        <v>0</v>
      </c>
      <c r="Z46" s="37">
        <v>0</v>
      </c>
      <c r="AA46" s="37">
        <v>0</v>
      </c>
      <c r="AB46" s="37">
        <v>0</v>
      </c>
      <c r="AC46" s="37">
        <v>0</v>
      </c>
      <c r="AD46" s="37">
        <v>0</v>
      </c>
      <c r="AE46" s="37">
        <v>0</v>
      </c>
      <c r="AF46" s="37">
        <f>AF44+T46</f>
        <v>85260</v>
      </c>
      <c r="AG46" s="37"/>
      <c r="AH46" s="37"/>
      <c r="AI46" s="37"/>
      <c r="AJ46" s="47" t="s">
        <v>166</v>
      </c>
      <c r="AK46" s="37"/>
      <c r="AL46" s="37"/>
      <c r="AM46" s="37"/>
      <c r="AN46" s="37"/>
      <c r="AO46" s="37"/>
      <c r="AP46" s="37"/>
      <c r="AQ46" s="37"/>
      <c r="AR46" s="37"/>
    </row>
    <row r="47" spans="1:44" x14ac:dyDescent="0.3">
      <c r="A47" s="138"/>
      <c r="B47" s="138"/>
      <c r="C47" s="138"/>
      <c r="D47" s="138"/>
      <c r="E47" s="138"/>
      <c r="F47" s="138"/>
      <c r="G47" s="37" t="s">
        <v>24</v>
      </c>
      <c r="H47" s="38">
        <v>163.02000000000001</v>
      </c>
      <c r="I47" s="38">
        <v>1407796</v>
      </c>
      <c r="J47" s="37" t="s">
        <v>66</v>
      </c>
      <c r="K47" s="138"/>
      <c r="L47" s="138"/>
      <c r="M47" s="138"/>
      <c r="N47" s="138"/>
      <c r="O47" s="138"/>
      <c r="P47" s="37">
        <v>143</v>
      </c>
      <c r="Q47" s="39">
        <v>60.11</v>
      </c>
      <c r="R47" s="39">
        <v>0.11</v>
      </c>
      <c r="S47" s="138"/>
      <c r="T47" s="41">
        <f>8224-16</f>
        <v>8208</v>
      </c>
      <c r="U47" s="40">
        <v>0</v>
      </c>
      <c r="V47" s="39">
        <v>0</v>
      </c>
      <c r="W47" s="39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  <c r="AD47" s="37">
        <v>0</v>
      </c>
      <c r="AE47" s="37">
        <v>0</v>
      </c>
      <c r="AF47" s="37">
        <f>AF46+T47</f>
        <v>93468</v>
      </c>
      <c r="AG47" s="37"/>
      <c r="AH47" s="37"/>
      <c r="AI47" s="37"/>
      <c r="AJ47" s="47" t="s">
        <v>166</v>
      </c>
      <c r="AK47" s="37"/>
      <c r="AL47" s="37"/>
      <c r="AM47" s="37"/>
      <c r="AN47" s="37"/>
      <c r="AO47" s="37"/>
      <c r="AP47" s="37"/>
      <c r="AQ47" s="37"/>
      <c r="AR47" s="37"/>
    </row>
    <row r="48" spans="1:44" x14ac:dyDescent="0.3">
      <c r="A48" s="37" t="s">
        <v>66</v>
      </c>
      <c r="B48" s="37" t="s">
        <v>248</v>
      </c>
      <c r="C48" s="43">
        <v>46135</v>
      </c>
      <c r="D48" s="37" t="s">
        <v>249</v>
      </c>
      <c r="E48" s="37" t="s">
        <v>66</v>
      </c>
      <c r="F48" s="37" t="s">
        <v>66</v>
      </c>
      <c r="G48" s="37" t="s">
        <v>49</v>
      </c>
      <c r="H48" s="38">
        <v>161</v>
      </c>
      <c r="I48" s="38">
        <v>2704800</v>
      </c>
      <c r="J48" s="37" t="s">
        <v>66</v>
      </c>
      <c r="K48" s="37" t="s">
        <v>48</v>
      </c>
      <c r="L48" s="37" t="s">
        <v>164</v>
      </c>
      <c r="M48" s="37" t="s">
        <v>165</v>
      </c>
      <c r="N48" s="37" t="s">
        <v>250</v>
      </c>
      <c r="O48" s="37" t="s">
        <v>105</v>
      </c>
      <c r="P48" s="37">
        <v>0</v>
      </c>
      <c r="Q48" s="39">
        <v>0</v>
      </c>
      <c r="R48" s="39">
        <v>0</v>
      </c>
      <c r="S48" s="37">
        <v>0</v>
      </c>
      <c r="T48" s="41">
        <v>0</v>
      </c>
      <c r="U48" s="40">
        <v>640</v>
      </c>
      <c r="V48" s="39">
        <v>25.02</v>
      </c>
      <c r="W48" s="39">
        <v>0.12</v>
      </c>
      <c r="X48" s="37">
        <v>15995</v>
      </c>
      <c r="Y48" s="37">
        <v>15936</v>
      </c>
      <c r="Z48" s="37">
        <v>0</v>
      </c>
      <c r="AA48" s="37">
        <v>0</v>
      </c>
      <c r="AB48" s="37">
        <v>0</v>
      </c>
      <c r="AC48" s="37">
        <v>0</v>
      </c>
      <c r="AD48" s="37">
        <v>0</v>
      </c>
      <c r="AE48" s="37">
        <v>0</v>
      </c>
      <c r="AF48" s="37">
        <f>AF47-Y48</f>
        <v>77532</v>
      </c>
      <c r="AG48" s="37"/>
      <c r="AH48" s="37"/>
      <c r="AI48" s="37"/>
      <c r="AJ48" s="47" t="s">
        <v>190</v>
      </c>
      <c r="AK48" s="37"/>
      <c r="AL48" s="37"/>
      <c r="AM48" s="37"/>
      <c r="AN48" s="37"/>
      <c r="AO48" s="37"/>
      <c r="AP48" s="37"/>
      <c r="AQ48" s="37"/>
      <c r="AR48" s="37"/>
    </row>
    <row r="49" spans="1:44" x14ac:dyDescent="0.3">
      <c r="A49" s="137" t="s">
        <v>251</v>
      </c>
      <c r="B49" s="137" t="s">
        <v>66</v>
      </c>
      <c r="C49" s="139">
        <v>46137</v>
      </c>
      <c r="D49" s="137" t="s">
        <v>252</v>
      </c>
      <c r="E49" s="137" t="s">
        <v>66</v>
      </c>
      <c r="F49" s="137" t="s">
        <v>66</v>
      </c>
      <c r="G49" s="137">
        <v>10</v>
      </c>
      <c r="H49" s="157">
        <v>93</v>
      </c>
      <c r="I49" s="157">
        <v>2929500</v>
      </c>
      <c r="J49" s="137" t="s">
        <v>66</v>
      </c>
      <c r="K49" s="137" t="s">
        <v>253</v>
      </c>
      <c r="L49" s="137" t="s">
        <v>124</v>
      </c>
      <c r="M49" s="137" t="s">
        <v>142</v>
      </c>
      <c r="N49" s="137" t="s">
        <v>200</v>
      </c>
      <c r="O49" s="137" t="s">
        <v>105</v>
      </c>
      <c r="P49" s="37">
        <v>240</v>
      </c>
      <c r="Q49" s="39">
        <v>50.12</v>
      </c>
      <c r="R49" s="39">
        <v>0.12</v>
      </c>
      <c r="S49" s="137">
        <v>30320</v>
      </c>
      <c r="T49" s="41">
        <v>12000</v>
      </c>
      <c r="U49" s="40">
        <v>0</v>
      </c>
      <c r="V49" s="39">
        <v>0</v>
      </c>
      <c r="W49" s="39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  <c r="AD49" s="37">
        <v>0</v>
      </c>
      <c r="AE49" s="37">
        <v>0</v>
      </c>
      <c r="AF49" s="37">
        <f>AF45+T49</f>
        <v>130765</v>
      </c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</row>
    <row r="50" spans="1:44" x14ac:dyDescent="0.3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37">
        <v>167.5</v>
      </c>
      <c r="Q50" s="39">
        <v>40.119999999999997</v>
      </c>
      <c r="R50" s="39">
        <v>0.12</v>
      </c>
      <c r="S50" s="140"/>
      <c r="T50" s="65">
        <v>6700</v>
      </c>
      <c r="U50" s="40">
        <v>0</v>
      </c>
      <c r="V50" s="39">
        <v>0</v>
      </c>
      <c r="W50" s="39">
        <v>0</v>
      </c>
      <c r="X50" s="37">
        <v>0</v>
      </c>
      <c r="Y50" s="37">
        <v>0</v>
      </c>
      <c r="Z50" s="37">
        <v>0</v>
      </c>
      <c r="AA50" s="37">
        <v>0</v>
      </c>
      <c r="AB50" s="37">
        <v>0</v>
      </c>
      <c r="AC50" s="37">
        <v>0</v>
      </c>
      <c r="AD50" s="37">
        <v>0</v>
      </c>
      <c r="AE50" s="37">
        <v>0</v>
      </c>
      <c r="AF50" s="37">
        <f>AF49+T50</f>
        <v>137465</v>
      </c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</row>
    <row r="51" spans="1:44" x14ac:dyDescent="0.3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37">
        <v>283</v>
      </c>
      <c r="Q51" s="39">
        <v>40.119999999999997</v>
      </c>
      <c r="R51" s="39">
        <v>0.12</v>
      </c>
      <c r="S51" s="138"/>
      <c r="T51" s="65">
        <v>11300</v>
      </c>
      <c r="U51" s="40">
        <v>0</v>
      </c>
      <c r="V51" s="39">
        <v>0</v>
      </c>
      <c r="W51" s="39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  <c r="AD51" s="37">
        <v>0</v>
      </c>
      <c r="AE51" s="37">
        <v>0</v>
      </c>
      <c r="AF51" s="111">
        <f>AF50+T51</f>
        <v>148765</v>
      </c>
      <c r="AG51" s="37"/>
      <c r="AH51" s="37"/>
      <c r="AI51" s="37"/>
      <c r="AK51" s="37"/>
      <c r="AL51" s="37"/>
      <c r="AM51" s="37"/>
      <c r="AN51" s="37"/>
      <c r="AO51" s="37"/>
      <c r="AP51" s="37"/>
      <c r="AQ51" s="37"/>
      <c r="AR51" s="37"/>
    </row>
    <row r="52" spans="1:44" x14ac:dyDescent="0.3">
      <c r="A52" s="37" t="s">
        <v>254</v>
      </c>
      <c r="B52" s="37" t="s">
        <v>66</v>
      </c>
      <c r="C52" s="43">
        <v>46138</v>
      </c>
      <c r="D52" s="37" t="s">
        <v>255</v>
      </c>
      <c r="E52" s="37" t="s">
        <v>66</v>
      </c>
      <c r="F52" s="37" t="s">
        <v>66</v>
      </c>
      <c r="G52" s="37" t="s">
        <v>256</v>
      </c>
      <c r="H52" s="38">
        <v>103.51</v>
      </c>
      <c r="I52" s="38">
        <v>2173710</v>
      </c>
      <c r="J52" s="37" t="s">
        <v>66</v>
      </c>
      <c r="K52" s="37" t="s">
        <v>257</v>
      </c>
      <c r="L52" s="37" t="s">
        <v>258</v>
      </c>
      <c r="M52" s="37" t="s">
        <v>259</v>
      </c>
      <c r="N52" s="37" t="s">
        <v>260</v>
      </c>
      <c r="O52" s="37" t="s">
        <v>105</v>
      </c>
      <c r="P52" s="37">
        <v>800</v>
      </c>
      <c r="Q52" s="39">
        <v>25.08</v>
      </c>
      <c r="R52" s="39">
        <v>0.08</v>
      </c>
      <c r="S52" s="37">
        <v>20070</v>
      </c>
      <c r="T52" s="41">
        <v>20000</v>
      </c>
      <c r="U52" s="40">
        <v>0</v>
      </c>
      <c r="V52" s="39">
        <v>0</v>
      </c>
      <c r="W52" s="39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  <c r="AD52" s="37">
        <v>0</v>
      </c>
      <c r="AE52" s="37">
        <v>0</v>
      </c>
      <c r="AF52" s="37">
        <f>T52</f>
        <v>20000</v>
      </c>
      <c r="AG52" s="37"/>
      <c r="AH52" s="37"/>
      <c r="AI52" s="37"/>
      <c r="AK52" s="37"/>
      <c r="AL52" s="37"/>
      <c r="AM52" s="37"/>
      <c r="AN52" s="37"/>
      <c r="AO52" s="37"/>
      <c r="AP52" s="37"/>
      <c r="AQ52" s="37"/>
      <c r="AR52" s="37"/>
    </row>
    <row r="53" spans="1:44" x14ac:dyDescent="0.3">
      <c r="A53" s="137" t="s">
        <v>261</v>
      </c>
      <c r="B53" s="137" t="s">
        <v>66</v>
      </c>
      <c r="C53" s="139">
        <v>46138</v>
      </c>
      <c r="D53" s="137" t="s">
        <v>262</v>
      </c>
      <c r="E53" s="137" t="s">
        <v>66</v>
      </c>
      <c r="F53" s="137" t="s">
        <v>66</v>
      </c>
      <c r="G53" s="137" t="s">
        <v>263</v>
      </c>
      <c r="H53" s="38">
        <v>99</v>
      </c>
      <c r="I53" s="157">
        <v>1827000</v>
      </c>
      <c r="J53" s="137" t="s">
        <v>66</v>
      </c>
      <c r="K53" s="137" t="s">
        <v>199</v>
      </c>
      <c r="L53" s="137" t="s">
        <v>124</v>
      </c>
      <c r="M53" s="137" t="s">
        <v>116</v>
      </c>
      <c r="N53" s="37" t="s">
        <v>264</v>
      </c>
      <c r="O53" s="137" t="s">
        <v>105</v>
      </c>
      <c r="P53" s="37">
        <v>80</v>
      </c>
      <c r="Q53" s="39">
        <v>25.12</v>
      </c>
      <c r="R53" s="39">
        <v>0.12</v>
      </c>
      <c r="S53" s="137">
        <v>18005</v>
      </c>
      <c r="T53" s="41">
        <v>2000</v>
      </c>
      <c r="U53" s="40">
        <v>0</v>
      </c>
      <c r="V53" s="39">
        <v>0</v>
      </c>
      <c r="W53" s="39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  <c r="AD53" s="37">
        <v>0</v>
      </c>
      <c r="AE53" s="37">
        <v>0</v>
      </c>
      <c r="AF53" s="37">
        <f>AF31+T53</f>
        <v>3800</v>
      </c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</row>
    <row r="54" spans="1:44" x14ac:dyDescent="0.3">
      <c r="A54" s="140"/>
      <c r="B54" s="140"/>
      <c r="C54" s="140"/>
      <c r="D54" s="140"/>
      <c r="E54" s="140"/>
      <c r="F54" s="140"/>
      <c r="G54" s="140"/>
      <c r="H54" s="38">
        <v>93</v>
      </c>
      <c r="I54" s="140"/>
      <c r="J54" s="140"/>
      <c r="K54" s="140"/>
      <c r="L54" s="140"/>
      <c r="M54" s="140"/>
      <c r="N54" s="37" t="s">
        <v>265</v>
      </c>
      <c r="O54" s="140"/>
      <c r="P54" s="37">
        <v>400</v>
      </c>
      <c r="Q54" s="39">
        <v>25.12</v>
      </c>
      <c r="R54" s="39">
        <v>0.12</v>
      </c>
      <c r="S54" s="140"/>
      <c r="T54" s="41">
        <v>10000</v>
      </c>
      <c r="U54" s="40">
        <v>0</v>
      </c>
      <c r="V54" s="39">
        <v>0</v>
      </c>
      <c r="W54" s="39">
        <v>0</v>
      </c>
      <c r="X54" s="37">
        <v>0</v>
      </c>
      <c r="Y54" s="37">
        <v>0</v>
      </c>
      <c r="Z54" s="37">
        <v>0</v>
      </c>
      <c r="AA54" s="37">
        <v>0</v>
      </c>
      <c r="AB54" s="37">
        <v>0</v>
      </c>
      <c r="AC54" s="37">
        <v>0</v>
      </c>
      <c r="AD54" s="37">
        <v>0</v>
      </c>
      <c r="AE54" s="37">
        <v>0</v>
      </c>
      <c r="AF54" s="37">
        <f>AF53+T54</f>
        <v>13800</v>
      </c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</row>
    <row r="55" spans="1:44" x14ac:dyDescent="0.3">
      <c r="A55" s="138"/>
      <c r="B55" s="138"/>
      <c r="C55" s="138"/>
      <c r="D55" s="138"/>
      <c r="E55" s="138"/>
      <c r="F55" s="138"/>
      <c r="G55" s="138"/>
      <c r="H55" s="38">
        <v>102</v>
      </c>
      <c r="I55" s="138"/>
      <c r="J55" s="138"/>
      <c r="K55" s="138"/>
      <c r="L55" s="138"/>
      <c r="M55" s="138"/>
      <c r="N55" s="48" t="s">
        <v>266</v>
      </c>
      <c r="O55" s="138"/>
      <c r="P55" s="37">
        <v>240</v>
      </c>
      <c r="Q55" s="39">
        <v>25.12</v>
      </c>
      <c r="R55" s="39">
        <v>0.12</v>
      </c>
      <c r="S55" s="138"/>
      <c r="T55" s="41">
        <v>6000</v>
      </c>
      <c r="U55" s="40">
        <v>0</v>
      </c>
      <c r="V55" s="39">
        <v>0</v>
      </c>
      <c r="W55" s="39">
        <v>0</v>
      </c>
      <c r="X55" s="37">
        <v>0</v>
      </c>
      <c r="Y55" s="37">
        <v>0</v>
      </c>
      <c r="Z55" s="37">
        <v>0</v>
      </c>
      <c r="AA55" s="37">
        <v>0</v>
      </c>
      <c r="AB55" s="37">
        <v>0</v>
      </c>
      <c r="AC55" s="37">
        <v>0</v>
      </c>
      <c r="AD55" s="37">
        <v>0</v>
      </c>
      <c r="AE55" s="37">
        <v>0</v>
      </c>
      <c r="AF55" s="37">
        <f>AF54+T55</f>
        <v>19800</v>
      </c>
      <c r="AG55" s="37"/>
      <c r="AH55" s="37"/>
      <c r="AI55" s="37"/>
      <c r="AJ55" s="42"/>
      <c r="AK55" s="37"/>
      <c r="AL55" s="37"/>
      <c r="AM55" s="37"/>
      <c r="AN55" s="37"/>
      <c r="AO55" s="37"/>
      <c r="AP55" s="37"/>
      <c r="AQ55" s="37"/>
      <c r="AR55" s="37"/>
    </row>
    <row r="56" spans="1:44" x14ac:dyDescent="0.3">
      <c r="A56" s="37" t="s">
        <v>267</v>
      </c>
      <c r="B56" s="37" t="s">
        <v>66</v>
      </c>
      <c r="C56" s="43">
        <v>46138</v>
      </c>
      <c r="D56" s="37" t="s">
        <v>268</v>
      </c>
      <c r="E56" s="37" t="s">
        <v>66</v>
      </c>
      <c r="F56" s="37" t="s">
        <v>66</v>
      </c>
      <c r="G56" s="37" t="s">
        <v>269</v>
      </c>
      <c r="H56" s="38">
        <v>99</v>
      </c>
      <c r="I56" s="38">
        <v>2598750</v>
      </c>
      <c r="J56" s="37" t="s">
        <v>66</v>
      </c>
      <c r="K56" s="37" t="s">
        <v>199</v>
      </c>
      <c r="L56" s="37" t="s">
        <v>124</v>
      </c>
      <c r="M56" s="37" t="s">
        <v>116</v>
      </c>
      <c r="N56" s="37" t="s">
        <v>264</v>
      </c>
      <c r="O56" s="37" t="s">
        <v>105</v>
      </c>
      <c r="P56" s="37">
        <v>1000</v>
      </c>
      <c r="Q56" s="39">
        <v>25.12</v>
      </c>
      <c r="R56" s="39">
        <v>0.12</v>
      </c>
      <c r="S56" s="37">
        <v>25100</v>
      </c>
      <c r="T56" s="41">
        <v>25000</v>
      </c>
      <c r="U56" s="40">
        <v>0</v>
      </c>
      <c r="V56" s="39">
        <v>0</v>
      </c>
      <c r="W56" s="39">
        <v>0</v>
      </c>
      <c r="X56" s="37">
        <v>0</v>
      </c>
      <c r="Y56" s="37">
        <v>0</v>
      </c>
      <c r="Z56" s="37">
        <v>0</v>
      </c>
      <c r="AA56" s="37">
        <v>0</v>
      </c>
      <c r="AB56" s="37">
        <v>0</v>
      </c>
      <c r="AC56" s="37">
        <v>0</v>
      </c>
      <c r="AD56" s="37">
        <v>0</v>
      </c>
      <c r="AE56" s="37">
        <v>0</v>
      </c>
      <c r="AF56" s="37">
        <f>AF55+T56</f>
        <v>44800</v>
      </c>
      <c r="AG56" s="37"/>
      <c r="AH56" s="37"/>
      <c r="AI56" s="37"/>
      <c r="AK56" s="37"/>
      <c r="AL56" s="37"/>
      <c r="AM56" s="37"/>
      <c r="AN56" s="37"/>
      <c r="AO56" s="37"/>
      <c r="AP56" s="37"/>
      <c r="AQ56" s="37"/>
      <c r="AR56" s="37"/>
    </row>
    <row r="57" spans="1:44" x14ac:dyDescent="0.3">
      <c r="A57" s="137" t="s">
        <v>270</v>
      </c>
      <c r="B57" s="137" t="s">
        <v>66</v>
      </c>
      <c r="C57" s="139">
        <v>46139</v>
      </c>
      <c r="D57" s="137" t="s">
        <v>271</v>
      </c>
      <c r="E57" s="137" t="s">
        <v>66</v>
      </c>
      <c r="F57" s="137" t="s">
        <v>66</v>
      </c>
      <c r="G57" s="137" t="s">
        <v>272</v>
      </c>
      <c r="H57" s="38">
        <v>95</v>
      </c>
      <c r="I57" s="157">
        <v>2822400</v>
      </c>
      <c r="J57" s="37">
        <v>7</v>
      </c>
      <c r="K57" s="137" t="s">
        <v>273</v>
      </c>
      <c r="L57" s="137" t="s">
        <v>115</v>
      </c>
      <c r="M57" s="37" t="s">
        <v>116</v>
      </c>
      <c r="N57" s="37" t="s">
        <v>274</v>
      </c>
      <c r="O57" s="137" t="s">
        <v>105</v>
      </c>
      <c r="P57" s="37">
        <v>240</v>
      </c>
      <c r="Q57" s="39">
        <v>25.12</v>
      </c>
      <c r="R57" s="39">
        <v>0.12</v>
      </c>
      <c r="S57" s="137">
        <v>30220</v>
      </c>
      <c r="T57" s="41">
        <v>6000</v>
      </c>
      <c r="U57" s="40">
        <v>0</v>
      </c>
      <c r="V57" s="39">
        <v>0</v>
      </c>
      <c r="W57" s="39">
        <v>0</v>
      </c>
      <c r="X57" s="37">
        <v>0</v>
      </c>
      <c r="Y57" s="37">
        <v>0</v>
      </c>
      <c r="Z57" s="37">
        <v>0</v>
      </c>
      <c r="AA57" s="37">
        <v>0</v>
      </c>
      <c r="AB57" s="37">
        <v>0</v>
      </c>
      <c r="AC57" s="37">
        <v>0</v>
      </c>
      <c r="AD57" s="37">
        <v>0</v>
      </c>
      <c r="AE57" s="37">
        <v>0</v>
      </c>
      <c r="AF57" s="37">
        <f>AF56+T57</f>
        <v>50800</v>
      </c>
      <c r="AG57" s="37"/>
      <c r="AH57" s="37"/>
      <c r="AI57" s="37"/>
      <c r="AJ57" s="45"/>
      <c r="AK57" s="37"/>
      <c r="AL57" s="37"/>
      <c r="AM57" s="37"/>
      <c r="AN57" s="37"/>
      <c r="AO57" s="37"/>
      <c r="AP57" s="37"/>
      <c r="AQ57" s="37"/>
      <c r="AR57" s="37"/>
    </row>
    <row r="58" spans="1:44" x14ac:dyDescent="0.3">
      <c r="A58" s="140"/>
      <c r="B58" s="140"/>
      <c r="C58" s="140"/>
      <c r="D58" s="140"/>
      <c r="E58" s="140"/>
      <c r="F58" s="140"/>
      <c r="G58" s="140"/>
      <c r="H58" s="38">
        <v>68</v>
      </c>
      <c r="I58" s="140"/>
      <c r="J58" s="37">
        <v>8</v>
      </c>
      <c r="K58" s="140"/>
      <c r="L58" s="140"/>
      <c r="M58" s="37" t="s">
        <v>275</v>
      </c>
      <c r="N58" s="37" t="s">
        <v>276</v>
      </c>
      <c r="O58" s="140"/>
      <c r="P58" s="37">
        <v>240</v>
      </c>
      <c r="Q58" s="39">
        <v>25.12</v>
      </c>
      <c r="R58" s="39">
        <v>0.12</v>
      </c>
      <c r="S58" s="140"/>
      <c r="T58" s="41">
        <v>6000</v>
      </c>
      <c r="U58" s="40">
        <v>0</v>
      </c>
      <c r="V58" s="39">
        <v>0</v>
      </c>
      <c r="W58" s="39">
        <v>0</v>
      </c>
      <c r="X58" s="37">
        <v>0</v>
      </c>
      <c r="Y58" s="37">
        <v>0</v>
      </c>
      <c r="Z58" s="37">
        <v>0</v>
      </c>
      <c r="AA58" s="37">
        <v>0</v>
      </c>
      <c r="AB58" s="37">
        <v>0</v>
      </c>
      <c r="AC58" s="37">
        <v>0</v>
      </c>
      <c r="AD58" s="37">
        <v>0</v>
      </c>
      <c r="AE58" s="37">
        <v>0</v>
      </c>
      <c r="AF58" s="37">
        <f>T58</f>
        <v>6000</v>
      </c>
      <c r="AG58" s="37"/>
      <c r="AH58" s="37"/>
      <c r="AI58" s="53"/>
      <c r="AJ58" s="62"/>
      <c r="AK58" s="40"/>
      <c r="AL58" s="37"/>
      <c r="AM58" s="37"/>
      <c r="AN58" s="37"/>
      <c r="AO58" s="37"/>
      <c r="AP58" s="37"/>
      <c r="AQ58" s="37"/>
      <c r="AR58" s="37"/>
    </row>
    <row r="59" spans="1:44" x14ac:dyDescent="0.3">
      <c r="A59" s="138"/>
      <c r="B59" s="138"/>
      <c r="C59" s="138"/>
      <c r="D59" s="138"/>
      <c r="E59" s="138"/>
      <c r="F59" s="138"/>
      <c r="G59" s="138"/>
      <c r="H59" s="38">
        <v>95</v>
      </c>
      <c r="I59" s="138"/>
      <c r="J59" s="37">
        <v>3</v>
      </c>
      <c r="K59" s="138"/>
      <c r="L59" s="138"/>
      <c r="M59" s="37" t="s">
        <v>116</v>
      </c>
      <c r="N59" s="37" t="s">
        <v>274</v>
      </c>
      <c r="O59" s="138"/>
      <c r="P59" s="37">
        <v>720</v>
      </c>
      <c r="Q59" s="39">
        <v>25.12</v>
      </c>
      <c r="R59" s="39">
        <v>0.12</v>
      </c>
      <c r="S59" s="138"/>
      <c r="T59" s="41">
        <v>18000</v>
      </c>
      <c r="U59" s="40">
        <v>0</v>
      </c>
      <c r="V59" s="39">
        <v>0</v>
      </c>
      <c r="W59" s="39">
        <v>0</v>
      </c>
      <c r="X59" s="37">
        <v>0</v>
      </c>
      <c r="Y59" s="37">
        <v>0</v>
      </c>
      <c r="Z59" s="37">
        <v>0</v>
      </c>
      <c r="AA59" s="37">
        <v>0</v>
      </c>
      <c r="AB59" s="37">
        <v>0</v>
      </c>
      <c r="AC59" s="37">
        <v>0</v>
      </c>
      <c r="AD59" s="37">
        <v>0</v>
      </c>
      <c r="AE59" s="37">
        <v>0</v>
      </c>
      <c r="AF59" s="37">
        <f>AF57+T59</f>
        <v>68800</v>
      </c>
      <c r="AG59" s="37"/>
      <c r="AH59" s="37"/>
      <c r="AI59" s="37"/>
      <c r="AK59" s="37"/>
      <c r="AL59" s="37"/>
      <c r="AM59" s="37"/>
      <c r="AN59" s="37"/>
      <c r="AO59" s="37"/>
      <c r="AP59" s="37"/>
      <c r="AQ59" s="37"/>
      <c r="AR59" s="37"/>
    </row>
    <row r="60" spans="1:44" x14ac:dyDescent="0.3">
      <c r="A60" s="37" t="s">
        <v>277</v>
      </c>
      <c r="B60" s="37" t="s">
        <v>66</v>
      </c>
      <c r="C60" s="43">
        <v>46139</v>
      </c>
      <c r="D60" s="37" t="s">
        <v>278</v>
      </c>
      <c r="E60" s="37" t="s">
        <v>66</v>
      </c>
      <c r="F60" s="37" t="s">
        <v>66</v>
      </c>
      <c r="G60" s="37">
        <v>18</v>
      </c>
      <c r="H60" s="38">
        <v>174.25</v>
      </c>
      <c r="I60" s="38">
        <v>914813</v>
      </c>
      <c r="J60" s="37" t="s">
        <v>66</v>
      </c>
      <c r="K60" s="37" t="s">
        <v>279</v>
      </c>
      <c r="L60" s="37" t="s">
        <v>182</v>
      </c>
      <c r="M60" s="37" t="s">
        <v>280</v>
      </c>
      <c r="N60" s="37" t="s">
        <v>281</v>
      </c>
      <c r="O60" s="37" t="s">
        <v>105</v>
      </c>
      <c r="P60" s="37">
        <v>200</v>
      </c>
      <c r="Q60" s="39">
        <v>25.08</v>
      </c>
      <c r="R60" s="39">
        <v>0.08</v>
      </c>
      <c r="S60" s="37">
        <v>5050</v>
      </c>
      <c r="T60" s="41">
        <v>5000</v>
      </c>
      <c r="U60" s="40">
        <v>0</v>
      </c>
      <c r="V60" s="39">
        <v>0</v>
      </c>
      <c r="W60" s="39">
        <v>0</v>
      </c>
      <c r="X60" s="37">
        <v>0</v>
      </c>
      <c r="Y60" s="37">
        <v>0</v>
      </c>
      <c r="Z60" s="37">
        <v>0</v>
      </c>
      <c r="AA60" s="37">
        <v>0</v>
      </c>
      <c r="AB60" s="37">
        <v>0</v>
      </c>
      <c r="AC60" s="37">
        <v>0</v>
      </c>
      <c r="AD60" s="37">
        <v>0</v>
      </c>
      <c r="AE60" s="37">
        <v>0</v>
      </c>
      <c r="AF60" s="47">
        <f>T60</f>
        <v>5000</v>
      </c>
      <c r="AG60" s="37"/>
      <c r="AH60" s="37"/>
      <c r="AI60" s="37"/>
      <c r="AK60" s="37"/>
      <c r="AL60" s="37"/>
      <c r="AM60" s="37"/>
      <c r="AN60" s="37"/>
      <c r="AO60" s="37"/>
      <c r="AP60" s="37"/>
      <c r="AQ60" s="37"/>
      <c r="AR60" s="37"/>
    </row>
    <row r="61" spans="1:44" x14ac:dyDescent="0.3">
      <c r="A61" s="37" t="s">
        <v>282</v>
      </c>
      <c r="B61" s="37" t="s">
        <v>66</v>
      </c>
      <c r="C61" s="43">
        <v>46140</v>
      </c>
      <c r="D61" s="37" t="s">
        <v>169</v>
      </c>
      <c r="E61" s="37" t="s">
        <v>66</v>
      </c>
      <c r="F61" s="37" t="s">
        <v>66</v>
      </c>
      <c r="G61" s="37" t="s">
        <v>25</v>
      </c>
      <c r="H61" s="38">
        <v>168.24</v>
      </c>
      <c r="I61" s="38">
        <v>1985657</v>
      </c>
      <c r="J61" s="37" t="s">
        <v>66</v>
      </c>
      <c r="K61" s="37" t="s">
        <v>8</v>
      </c>
      <c r="L61" s="37" t="s">
        <v>164</v>
      </c>
      <c r="M61" s="37" t="s">
        <v>165</v>
      </c>
      <c r="N61" s="37" t="s">
        <v>160</v>
      </c>
      <c r="O61" s="37" t="s">
        <v>161</v>
      </c>
      <c r="P61" s="37">
        <v>192</v>
      </c>
      <c r="Q61" s="39">
        <v>60.11</v>
      </c>
      <c r="R61" s="39">
        <v>0.11</v>
      </c>
      <c r="S61" s="37">
        <v>11205</v>
      </c>
      <c r="T61" s="41">
        <v>11184</v>
      </c>
      <c r="U61" s="40">
        <v>0</v>
      </c>
      <c r="V61" s="39">
        <v>0</v>
      </c>
      <c r="W61" s="39">
        <v>0</v>
      </c>
      <c r="X61" s="37">
        <v>0</v>
      </c>
      <c r="Y61" s="37">
        <v>0</v>
      </c>
      <c r="Z61" s="37">
        <v>0</v>
      </c>
      <c r="AA61" s="37">
        <v>0</v>
      </c>
      <c r="AB61" s="37">
        <v>0</v>
      </c>
      <c r="AC61" s="37">
        <v>0</v>
      </c>
      <c r="AD61" s="37">
        <v>0</v>
      </c>
      <c r="AE61" s="37">
        <v>0</v>
      </c>
      <c r="AF61" s="37">
        <f>AF48+T61</f>
        <v>88716</v>
      </c>
      <c r="AG61" s="37"/>
      <c r="AH61" s="37"/>
      <c r="AI61" s="37"/>
      <c r="AJ61" s="47" t="s">
        <v>166</v>
      </c>
      <c r="AK61" s="37"/>
      <c r="AL61" s="37"/>
      <c r="AM61" s="37"/>
      <c r="AN61" s="37"/>
      <c r="AO61" s="37"/>
      <c r="AP61" s="37"/>
      <c r="AQ61" s="37"/>
      <c r="AR61" s="37"/>
    </row>
    <row r="62" spans="1:44" x14ac:dyDescent="0.3">
      <c r="A62" s="137" t="s">
        <v>283</v>
      </c>
      <c r="B62" s="137" t="s">
        <v>66</v>
      </c>
      <c r="C62" s="139">
        <v>46141</v>
      </c>
      <c r="D62" s="137" t="s">
        <v>284</v>
      </c>
      <c r="E62" s="137" t="s">
        <v>66</v>
      </c>
      <c r="F62" s="137" t="s">
        <v>66</v>
      </c>
      <c r="G62" s="137" t="s">
        <v>285</v>
      </c>
      <c r="H62" s="38">
        <v>102</v>
      </c>
      <c r="I62" s="157">
        <v>2694300</v>
      </c>
      <c r="J62" s="137" t="s">
        <v>66</v>
      </c>
      <c r="K62" s="137" t="s">
        <v>199</v>
      </c>
      <c r="L62" s="137" t="s">
        <v>124</v>
      </c>
      <c r="M62" s="37" t="s">
        <v>116</v>
      </c>
      <c r="N62" s="37" t="s">
        <v>266</v>
      </c>
      <c r="O62" s="137" t="s">
        <v>105</v>
      </c>
      <c r="P62" s="37">
        <v>200</v>
      </c>
      <c r="Q62" s="39">
        <v>25.12</v>
      </c>
      <c r="R62" s="39">
        <v>0.12</v>
      </c>
      <c r="S62" s="137">
        <v>19075</v>
      </c>
      <c r="T62" s="41">
        <v>5000</v>
      </c>
      <c r="U62" s="40">
        <v>0</v>
      </c>
      <c r="V62" s="39">
        <v>0</v>
      </c>
      <c r="W62" s="39">
        <v>0</v>
      </c>
      <c r="X62" s="37">
        <v>0</v>
      </c>
      <c r="Y62" s="37">
        <v>0</v>
      </c>
      <c r="Z62" s="37">
        <v>0</v>
      </c>
      <c r="AA62" s="37">
        <v>0</v>
      </c>
      <c r="AB62" s="37">
        <v>0</v>
      </c>
      <c r="AC62" s="37">
        <v>0</v>
      </c>
      <c r="AD62" s="37">
        <v>0</v>
      </c>
      <c r="AE62" s="37">
        <v>0</v>
      </c>
      <c r="AF62" s="37">
        <f>AF59+T62</f>
        <v>73800</v>
      </c>
      <c r="AG62" s="37"/>
      <c r="AH62" s="37"/>
      <c r="AI62" s="37"/>
      <c r="AK62" s="37"/>
      <c r="AL62" s="37"/>
      <c r="AM62" s="37"/>
      <c r="AN62" s="37"/>
      <c r="AO62" s="37"/>
      <c r="AP62" s="37"/>
      <c r="AQ62" s="37"/>
      <c r="AR62" s="37"/>
    </row>
    <row r="63" spans="1:44" x14ac:dyDescent="0.3">
      <c r="A63" s="140"/>
      <c r="B63" s="140"/>
      <c r="C63" s="140"/>
      <c r="D63" s="140"/>
      <c r="E63" s="140"/>
      <c r="F63" s="140"/>
      <c r="G63" s="140"/>
      <c r="H63" s="38">
        <v>269</v>
      </c>
      <c r="I63" s="140"/>
      <c r="J63" s="140"/>
      <c r="K63" s="140"/>
      <c r="L63" s="140"/>
      <c r="M63" s="37" t="s">
        <v>191</v>
      </c>
      <c r="N63" s="37" t="s">
        <v>192</v>
      </c>
      <c r="O63" s="140"/>
      <c r="P63" s="37">
        <v>80</v>
      </c>
      <c r="Q63" s="39">
        <v>25.12</v>
      </c>
      <c r="R63" s="39">
        <v>0.12</v>
      </c>
      <c r="S63" s="140"/>
      <c r="T63" s="41">
        <v>2000</v>
      </c>
      <c r="U63" s="40">
        <v>0</v>
      </c>
      <c r="V63" s="39">
        <v>0</v>
      </c>
      <c r="W63" s="39">
        <v>0</v>
      </c>
      <c r="X63" s="37">
        <v>0</v>
      </c>
      <c r="Y63" s="37">
        <v>0</v>
      </c>
      <c r="Z63" s="37">
        <v>0</v>
      </c>
      <c r="AA63" s="37">
        <v>0</v>
      </c>
      <c r="AB63" s="37">
        <v>0</v>
      </c>
      <c r="AC63" s="37">
        <v>0</v>
      </c>
      <c r="AD63" s="37">
        <v>0</v>
      </c>
      <c r="AE63" s="37">
        <v>0</v>
      </c>
      <c r="AF63" s="37">
        <f>AF29+T63</f>
        <v>2125</v>
      </c>
      <c r="AG63" s="37"/>
      <c r="AH63" s="37"/>
      <c r="AI63" s="37"/>
      <c r="AJ63" s="45"/>
      <c r="AK63" s="37"/>
      <c r="AL63" s="37"/>
      <c r="AM63" s="37"/>
      <c r="AN63" s="37"/>
      <c r="AO63" s="37"/>
      <c r="AP63" s="37"/>
      <c r="AQ63" s="37"/>
      <c r="AR63" s="37"/>
    </row>
    <row r="64" spans="1:44" x14ac:dyDescent="0.3">
      <c r="A64" s="140"/>
      <c r="B64" s="140"/>
      <c r="C64" s="140"/>
      <c r="D64" s="140"/>
      <c r="E64" s="140"/>
      <c r="F64" s="140"/>
      <c r="G64" s="140"/>
      <c r="H64" s="38">
        <v>209</v>
      </c>
      <c r="I64" s="140"/>
      <c r="J64" s="140"/>
      <c r="K64" s="140"/>
      <c r="L64" s="140"/>
      <c r="M64" s="37" t="s">
        <v>191</v>
      </c>
      <c r="N64" s="37" t="s">
        <v>192</v>
      </c>
      <c r="O64" s="140"/>
      <c r="P64" s="37">
        <v>120</v>
      </c>
      <c r="Q64" s="39">
        <v>25.12</v>
      </c>
      <c r="R64" s="39">
        <v>0.12</v>
      </c>
      <c r="S64" s="140"/>
      <c r="T64" s="41">
        <v>3000</v>
      </c>
      <c r="U64" s="40">
        <v>0</v>
      </c>
      <c r="V64" s="39">
        <v>0</v>
      </c>
      <c r="W64" s="39">
        <v>0</v>
      </c>
      <c r="X64" s="37">
        <v>0</v>
      </c>
      <c r="Y64" s="37">
        <v>0</v>
      </c>
      <c r="Z64" s="37">
        <v>0</v>
      </c>
      <c r="AA64" s="37">
        <v>0</v>
      </c>
      <c r="AB64" s="37">
        <v>0</v>
      </c>
      <c r="AC64" s="37">
        <v>0</v>
      </c>
      <c r="AD64" s="37">
        <v>0</v>
      </c>
      <c r="AE64" s="37">
        <v>0</v>
      </c>
      <c r="AF64" s="37">
        <f>AF63+T64</f>
        <v>5125</v>
      </c>
      <c r="AG64" s="37"/>
      <c r="AH64" s="37"/>
      <c r="AI64" s="53"/>
      <c r="AJ64" s="62"/>
      <c r="AK64" s="40"/>
      <c r="AL64" s="37"/>
      <c r="AM64" s="37"/>
      <c r="AN64" s="37"/>
      <c r="AO64" s="37"/>
      <c r="AP64" s="37"/>
      <c r="AQ64" s="37"/>
      <c r="AR64" s="37"/>
    </row>
    <row r="65" spans="1:44" x14ac:dyDescent="0.3">
      <c r="A65" s="138"/>
      <c r="B65" s="138"/>
      <c r="C65" s="138"/>
      <c r="D65" s="138"/>
      <c r="E65" s="138"/>
      <c r="F65" s="138"/>
      <c r="G65" s="138"/>
      <c r="H65" s="38">
        <v>99</v>
      </c>
      <c r="I65" s="138"/>
      <c r="J65" s="138"/>
      <c r="K65" s="138"/>
      <c r="L65" s="138"/>
      <c r="M65" s="37" t="s">
        <v>116</v>
      </c>
      <c r="N65" s="48" t="s">
        <v>266</v>
      </c>
      <c r="O65" s="138"/>
      <c r="P65" s="37">
        <v>360</v>
      </c>
      <c r="Q65" s="39">
        <v>25.12</v>
      </c>
      <c r="R65" s="39">
        <v>0.12</v>
      </c>
      <c r="S65" s="138"/>
      <c r="T65" s="41">
        <v>9000</v>
      </c>
      <c r="U65" s="40">
        <v>0</v>
      </c>
      <c r="V65" s="39">
        <v>0</v>
      </c>
      <c r="W65" s="39">
        <v>0</v>
      </c>
      <c r="X65" s="37">
        <v>0</v>
      </c>
      <c r="Y65" s="37">
        <v>0</v>
      </c>
      <c r="Z65" s="37">
        <v>0</v>
      </c>
      <c r="AA65" s="37">
        <v>0</v>
      </c>
      <c r="AB65" s="37">
        <v>0</v>
      </c>
      <c r="AC65" s="37">
        <v>0</v>
      </c>
      <c r="AD65" s="37">
        <v>0</v>
      </c>
      <c r="AE65" s="37">
        <v>0</v>
      </c>
      <c r="AF65" s="37">
        <f>AF62+T65</f>
        <v>82800</v>
      </c>
      <c r="AG65" s="37"/>
      <c r="AH65" s="37"/>
      <c r="AI65" s="53"/>
      <c r="AJ65" s="62"/>
      <c r="AK65" s="40"/>
      <c r="AL65" s="37"/>
      <c r="AM65" s="37"/>
      <c r="AN65" s="37"/>
      <c r="AO65" s="37"/>
      <c r="AP65" s="37"/>
      <c r="AQ65" s="37"/>
      <c r="AR65" s="37"/>
    </row>
    <row r="66" spans="1:44" x14ac:dyDescent="0.3">
      <c r="A66" s="137" t="s">
        <v>286</v>
      </c>
      <c r="B66" s="137" t="s">
        <v>66</v>
      </c>
      <c r="C66" s="139">
        <v>46142</v>
      </c>
      <c r="D66" s="137" t="s">
        <v>287</v>
      </c>
      <c r="E66" s="137" t="s">
        <v>66</v>
      </c>
      <c r="F66" s="137" t="s">
        <v>66</v>
      </c>
      <c r="G66" s="37" t="s">
        <v>288</v>
      </c>
      <c r="H66" s="38">
        <v>103.99</v>
      </c>
      <c r="I66" s="38">
        <v>317468</v>
      </c>
      <c r="J66" s="137" t="s">
        <v>66</v>
      </c>
      <c r="K66" s="137" t="s">
        <v>8</v>
      </c>
      <c r="L66" s="37" t="s">
        <v>133</v>
      </c>
      <c r="M66" s="37" t="s">
        <v>134</v>
      </c>
      <c r="N66" s="37" t="s">
        <v>160</v>
      </c>
      <c r="O66" s="137" t="s">
        <v>161</v>
      </c>
      <c r="P66" s="37">
        <v>76</v>
      </c>
      <c r="Q66" s="39">
        <v>40.1</v>
      </c>
      <c r="R66" s="39">
        <v>0.1</v>
      </c>
      <c r="S66" s="137">
        <v>10360</v>
      </c>
      <c r="T66" s="41">
        <f>2907-8</f>
        <v>2899</v>
      </c>
      <c r="U66" s="40">
        <v>0</v>
      </c>
      <c r="V66" s="39">
        <v>0</v>
      </c>
      <c r="W66" s="39">
        <v>0</v>
      </c>
      <c r="X66" s="37">
        <v>0</v>
      </c>
      <c r="Y66" s="37">
        <v>0</v>
      </c>
      <c r="Z66" s="37">
        <v>0</v>
      </c>
      <c r="AA66" s="37">
        <v>0</v>
      </c>
      <c r="AB66" s="37">
        <v>0</v>
      </c>
      <c r="AC66" s="37">
        <v>0</v>
      </c>
      <c r="AD66" s="37">
        <v>0</v>
      </c>
      <c r="AE66" s="37">
        <v>0</v>
      </c>
      <c r="AF66" s="37">
        <f>AF42+T66</f>
        <v>49907</v>
      </c>
      <c r="AG66" s="37"/>
      <c r="AH66" s="37"/>
      <c r="AI66" s="37"/>
      <c r="AK66" s="37"/>
      <c r="AL66" s="37"/>
      <c r="AM66" s="37"/>
      <c r="AN66" s="37"/>
      <c r="AO66" s="37"/>
      <c r="AP66" s="37"/>
      <c r="AQ66" s="37"/>
      <c r="AR66" s="37"/>
    </row>
    <row r="67" spans="1:44" x14ac:dyDescent="0.3">
      <c r="A67" s="140"/>
      <c r="B67" s="140"/>
      <c r="C67" s="140"/>
      <c r="D67" s="140"/>
      <c r="E67" s="140"/>
      <c r="F67" s="140"/>
      <c r="G67" s="37" t="s">
        <v>26</v>
      </c>
      <c r="H67" s="38">
        <v>164.59</v>
      </c>
      <c r="I67" s="38">
        <v>124171</v>
      </c>
      <c r="J67" s="140"/>
      <c r="K67" s="140"/>
      <c r="L67" s="137" t="s">
        <v>164</v>
      </c>
      <c r="M67" s="137" t="s">
        <v>165</v>
      </c>
      <c r="N67" s="137" t="s">
        <v>160</v>
      </c>
      <c r="O67" s="140"/>
      <c r="P67" s="37">
        <v>15</v>
      </c>
      <c r="Q67" s="39">
        <v>60.11</v>
      </c>
      <c r="R67" s="39">
        <v>0.12</v>
      </c>
      <c r="S67" s="140"/>
      <c r="T67" s="41">
        <f>718-2</f>
        <v>716</v>
      </c>
      <c r="U67" s="40">
        <v>0</v>
      </c>
      <c r="V67" s="39">
        <v>0</v>
      </c>
      <c r="W67" s="39">
        <v>0</v>
      </c>
      <c r="X67" s="37">
        <v>0</v>
      </c>
      <c r="Y67" s="37">
        <v>0</v>
      </c>
      <c r="Z67" s="37">
        <v>0</v>
      </c>
      <c r="AA67" s="37">
        <v>0</v>
      </c>
      <c r="AB67" s="37">
        <v>0</v>
      </c>
      <c r="AC67" s="37">
        <v>0</v>
      </c>
      <c r="AD67" s="37">
        <v>0</v>
      </c>
      <c r="AE67" s="37">
        <v>0</v>
      </c>
      <c r="AF67" s="37">
        <f>AF61+T67</f>
        <v>89432</v>
      </c>
      <c r="AG67" s="37"/>
      <c r="AH67" s="37"/>
      <c r="AI67" s="37"/>
      <c r="AJ67" s="47" t="s">
        <v>166</v>
      </c>
      <c r="AK67" s="37"/>
      <c r="AL67" s="37"/>
      <c r="AM67" s="37"/>
      <c r="AN67" s="37"/>
      <c r="AO67" s="37"/>
      <c r="AP67" s="37"/>
      <c r="AQ67" s="37"/>
      <c r="AR67" s="37"/>
    </row>
    <row r="68" spans="1:44" x14ac:dyDescent="0.3">
      <c r="A68" s="138"/>
      <c r="B68" s="138"/>
      <c r="C68" s="138"/>
      <c r="D68" s="138"/>
      <c r="E68" s="138"/>
      <c r="F68" s="138"/>
      <c r="G68" s="37" t="s">
        <v>27</v>
      </c>
      <c r="H68" s="38">
        <v>166.12</v>
      </c>
      <c r="I68" s="38">
        <v>1171794</v>
      </c>
      <c r="J68" s="138"/>
      <c r="K68" s="138"/>
      <c r="L68" s="138"/>
      <c r="M68" s="138"/>
      <c r="N68" s="138"/>
      <c r="O68" s="138"/>
      <c r="P68" s="37">
        <v>114</v>
      </c>
      <c r="Q68" s="39">
        <v>60.11</v>
      </c>
      <c r="R68" s="39">
        <v>0.12</v>
      </c>
      <c r="S68" s="138"/>
      <c r="T68" s="41">
        <f>6718-12</f>
        <v>6706</v>
      </c>
      <c r="U68" s="40">
        <v>0</v>
      </c>
      <c r="V68" s="39">
        <v>0</v>
      </c>
      <c r="W68" s="39">
        <v>0</v>
      </c>
      <c r="X68" s="37">
        <v>0</v>
      </c>
      <c r="Y68" s="37">
        <v>0</v>
      </c>
      <c r="Z68" s="37">
        <v>0</v>
      </c>
      <c r="AA68" s="37">
        <v>0</v>
      </c>
      <c r="AB68" s="37">
        <v>0</v>
      </c>
      <c r="AC68" s="37">
        <v>0</v>
      </c>
      <c r="AD68" s="37">
        <v>0</v>
      </c>
      <c r="AE68" s="37">
        <v>0</v>
      </c>
      <c r="AF68" s="37">
        <f>AF67+T68</f>
        <v>96138</v>
      </c>
      <c r="AG68" s="37"/>
      <c r="AH68" s="37"/>
      <c r="AI68" s="37"/>
      <c r="AJ68" s="47" t="s">
        <v>166</v>
      </c>
      <c r="AK68" s="37"/>
      <c r="AL68" s="37"/>
      <c r="AM68" s="37"/>
      <c r="AN68" s="37"/>
      <c r="AO68" s="37"/>
      <c r="AP68" s="37"/>
      <c r="AQ68" s="37"/>
      <c r="AR68" s="37"/>
    </row>
    <row r="69" spans="1:44" x14ac:dyDescent="0.3">
      <c r="A69" s="37" t="s">
        <v>289</v>
      </c>
      <c r="B69" s="37" t="s">
        <v>66</v>
      </c>
      <c r="C69" s="43">
        <v>46144</v>
      </c>
      <c r="D69" s="108" t="s">
        <v>290</v>
      </c>
      <c r="E69" s="37" t="s">
        <v>66</v>
      </c>
      <c r="F69" s="37" t="s">
        <v>66</v>
      </c>
      <c r="G69" s="37" t="s">
        <v>291</v>
      </c>
      <c r="H69" s="38">
        <v>2450</v>
      </c>
      <c r="I69" s="38">
        <v>1286250</v>
      </c>
      <c r="J69" s="37" t="s">
        <v>292</v>
      </c>
      <c r="K69" s="37" t="s">
        <v>293</v>
      </c>
      <c r="L69" s="37" t="s">
        <v>148</v>
      </c>
      <c r="M69" s="37" t="s">
        <v>294</v>
      </c>
      <c r="N69" s="37" t="s">
        <v>295</v>
      </c>
      <c r="O69" s="37" t="s">
        <v>105</v>
      </c>
      <c r="P69" s="37">
        <v>50</v>
      </c>
      <c r="Q69" s="39">
        <v>10.85</v>
      </c>
      <c r="R69" s="39">
        <v>0.85</v>
      </c>
      <c r="S69" s="37">
        <v>542</v>
      </c>
      <c r="T69" s="41">
        <v>500</v>
      </c>
      <c r="U69" s="40">
        <v>0</v>
      </c>
      <c r="V69" s="39">
        <v>0</v>
      </c>
      <c r="W69" s="39">
        <v>0</v>
      </c>
      <c r="X69" s="37">
        <v>0</v>
      </c>
      <c r="Y69" s="37">
        <v>0</v>
      </c>
      <c r="Z69" s="37">
        <v>0</v>
      </c>
      <c r="AA69" s="37">
        <v>0</v>
      </c>
      <c r="AB69" s="37">
        <v>0</v>
      </c>
      <c r="AC69" s="37">
        <v>0</v>
      </c>
      <c r="AD69" s="37">
        <v>0</v>
      </c>
      <c r="AE69" s="37">
        <v>0</v>
      </c>
      <c r="AF69" s="37">
        <f>T69</f>
        <v>500</v>
      </c>
      <c r="AG69" s="37"/>
      <c r="AH69" s="37"/>
      <c r="AI69" s="37"/>
      <c r="AK69" s="37"/>
      <c r="AL69" s="37"/>
      <c r="AM69" s="37"/>
      <c r="AN69" s="37"/>
      <c r="AO69" s="37"/>
      <c r="AP69" s="37"/>
      <c r="AQ69" s="37"/>
      <c r="AR69" s="37"/>
    </row>
    <row r="70" spans="1:44" x14ac:dyDescent="0.3">
      <c r="A70" s="37" t="s">
        <v>296</v>
      </c>
      <c r="B70" s="37" t="s">
        <v>66</v>
      </c>
      <c r="C70" s="43">
        <v>46144</v>
      </c>
      <c r="D70" s="37" t="s">
        <v>297</v>
      </c>
      <c r="E70" s="37" t="s">
        <v>66</v>
      </c>
      <c r="F70" s="37" t="s">
        <v>66</v>
      </c>
      <c r="G70" s="37">
        <v>20</v>
      </c>
      <c r="H70" s="38">
        <v>90</v>
      </c>
      <c r="I70" s="38">
        <v>1134000</v>
      </c>
      <c r="J70" s="37" t="s">
        <v>66</v>
      </c>
      <c r="K70" s="37" t="s">
        <v>253</v>
      </c>
      <c r="L70" s="37" t="s">
        <v>124</v>
      </c>
      <c r="M70" s="37" t="s">
        <v>142</v>
      </c>
      <c r="N70" s="37" t="s">
        <v>298</v>
      </c>
      <c r="O70" s="37" t="s">
        <v>105</v>
      </c>
      <c r="P70" s="37">
        <v>240</v>
      </c>
      <c r="Q70" s="39">
        <v>50.1</v>
      </c>
      <c r="R70" s="39">
        <v>0.1</v>
      </c>
      <c r="S70" s="37">
        <v>12100</v>
      </c>
      <c r="T70" s="41">
        <v>12000</v>
      </c>
      <c r="U70" s="40">
        <v>0</v>
      </c>
      <c r="V70" s="39">
        <v>0</v>
      </c>
      <c r="W70" s="39">
        <v>0</v>
      </c>
      <c r="X70" s="37">
        <v>0</v>
      </c>
      <c r="Y70" s="37">
        <v>0</v>
      </c>
      <c r="Z70" s="37">
        <v>0</v>
      </c>
      <c r="AA70" s="37">
        <v>0</v>
      </c>
      <c r="AB70" s="37">
        <v>0</v>
      </c>
      <c r="AC70" s="37">
        <v>0</v>
      </c>
      <c r="AD70" s="37">
        <v>0</v>
      </c>
      <c r="AE70" s="37">
        <v>0</v>
      </c>
      <c r="AF70" s="37">
        <f>AF51+T70</f>
        <v>160765</v>
      </c>
      <c r="AG70" s="37"/>
      <c r="AH70" s="37"/>
      <c r="AI70" s="37"/>
      <c r="AK70" s="37"/>
      <c r="AL70" s="37"/>
      <c r="AM70" s="37"/>
      <c r="AN70" s="37"/>
      <c r="AO70" s="37"/>
      <c r="AP70" s="37"/>
      <c r="AQ70" s="37"/>
      <c r="AR70" s="37"/>
    </row>
    <row r="71" spans="1:44" x14ac:dyDescent="0.3">
      <c r="A71" s="137" t="s">
        <v>299</v>
      </c>
      <c r="B71" s="137" t="s">
        <v>66</v>
      </c>
      <c r="C71" s="139">
        <v>46145</v>
      </c>
      <c r="D71" s="137" t="s">
        <v>300</v>
      </c>
      <c r="E71" s="137" t="s">
        <v>66</v>
      </c>
      <c r="F71" s="137" t="s">
        <v>66</v>
      </c>
      <c r="G71" s="137" t="s">
        <v>301</v>
      </c>
      <c r="H71" s="38">
        <v>103</v>
      </c>
      <c r="I71" s="157">
        <v>3543750</v>
      </c>
      <c r="J71" s="137" t="s">
        <v>66</v>
      </c>
      <c r="K71" s="137" t="s">
        <v>302</v>
      </c>
      <c r="L71" s="137" t="s">
        <v>303</v>
      </c>
      <c r="M71" s="137" t="s">
        <v>116</v>
      </c>
      <c r="N71" s="37" t="s">
        <v>304</v>
      </c>
      <c r="O71" s="137" t="s">
        <v>105</v>
      </c>
      <c r="P71" s="37">
        <v>560</v>
      </c>
      <c r="Q71" s="39">
        <v>25.12</v>
      </c>
      <c r="R71" s="39">
        <v>0.12</v>
      </c>
      <c r="S71" s="137">
        <v>25155</v>
      </c>
      <c r="T71" s="41">
        <v>14000</v>
      </c>
      <c r="U71" s="40">
        <v>0</v>
      </c>
      <c r="V71" s="39">
        <v>0</v>
      </c>
      <c r="W71" s="39">
        <v>0</v>
      </c>
      <c r="X71" s="37">
        <v>0</v>
      </c>
      <c r="Y71" s="37">
        <v>0</v>
      </c>
      <c r="Z71" s="37">
        <v>0</v>
      </c>
      <c r="AA71" s="37">
        <v>0</v>
      </c>
      <c r="AB71" s="37">
        <v>0</v>
      </c>
      <c r="AC71" s="37">
        <v>0</v>
      </c>
      <c r="AD71" s="37">
        <v>0</v>
      </c>
      <c r="AE71" s="37">
        <v>0</v>
      </c>
      <c r="AF71" s="37">
        <f>AF65+T71</f>
        <v>96800</v>
      </c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</row>
    <row r="72" spans="1:44" x14ac:dyDescent="0.3">
      <c r="A72" s="140"/>
      <c r="B72" s="140"/>
      <c r="C72" s="140"/>
      <c r="D72" s="140"/>
      <c r="E72" s="140"/>
      <c r="F72" s="140"/>
      <c r="G72" s="140"/>
      <c r="H72" s="38">
        <v>123</v>
      </c>
      <c r="I72" s="140"/>
      <c r="J72" s="140"/>
      <c r="K72" s="140"/>
      <c r="L72" s="140"/>
      <c r="M72" s="138"/>
      <c r="N72" s="37" t="s">
        <v>274</v>
      </c>
      <c r="O72" s="138"/>
      <c r="P72" s="37">
        <v>280</v>
      </c>
      <c r="Q72" s="39">
        <v>25.12</v>
      </c>
      <c r="R72" s="39">
        <v>0.12</v>
      </c>
      <c r="S72" s="140"/>
      <c r="T72" s="41">
        <v>7000</v>
      </c>
      <c r="U72" s="40">
        <v>0</v>
      </c>
      <c r="V72" s="39">
        <v>0</v>
      </c>
      <c r="W72" s="39">
        <v>0</v>
      </c>
      <c r="X72" s="37">
        <v>0</v>
      </c>
      <c r="Y72" s="37">
        <v>0</v>
      </c>
      <c r="Z72" s="37">
        <v>0</v>
      </c>
      <c r="AA72" s="37">
        <v>0</v>
      </c>
      <c r="AB72" s="37">
        <v>0</v>
      </c>
      <c r="AC72" s="37">
        <v>0</v>
      </c>
      <c r="AD72" s="37">
        <v>0</v>
      </c>
      <c r="AE72" s="37">
        <v>0</v>
      </c>
      <c r="AF72" s="37">
        <f>AF71+T72</f>
        <v>103800</v>
      </c>
      <c r="AG72" s="37"/>
      <c r="AH72" s="37"/>
      <c r="AI72" s="37"/>
      <c r="AK72" s="37"/>
      <c r="AL72" s="37"/>
      <c r="AM72" s="37"/>
      <c r="AN72" s="37"/>
      <c r="AO72" s="37"/>
      <c r="AP72" s="37"/>
      <c r="AQ72" s="37"/>
      <c r="AR72" s="37"/>
    </row>
    <row r="73" spans="1:44" x14ac:dyDescent="0.3">
      <c r="A73" s="138"/>
      <c r="B73" s="138"/>
      <c r="C73" s="138"/>
      <c r="D73" s="138"/>
      <c r="E73" s="138"/>
      <c r="F73" s="138"/>
      <c r="G73" s="138"/>
      <c r="H73" s="38">
        <v>268</v>
      </c>
      <c r="I73" s="138"/>
      <c r="J73" s="138"/>
      <c r="K73" s="138"/>
      <c r="L73" s="138"/>
      <c r="M73" s="37" t="s">
        <v>191</v>
      </c>
      <c r="N73" s="52" t="s">
        <v>192</v>
      </c>
      <c r="O73" s="37" t="s">
        <v>105</v>
      </c>
      <c r="P73" s="37">
        <v>160</v>
      </c>
      <c r="Q73" s="39">
        <v>25.12</v>
      </c>
      <c r="R73" s="39">
        <v>0.12</v>
      </c>
      <c r="S73" s="138"/>
      <c r="T73" s="41">
        <v>4000</v>
      </c>
      <c r="U73" s="40">
        <v>0</v>
      </c>
      <c r="V73" s="39">
        <v>0</v>
      </c>
      <c r="W73" s="39">
        <v>0</v>
      </c>
      <c r="X73" s="37">
        <v>0</v>
      </c>
      <c r="Y73" s="37">
        <v>0</v>
      </c>
      <c r="Z73" s="37">
        <v>0</v>
      </c>
      <c r="AA73" s="37">
        <v>0</v>
      </c>
      <c r="AB73" s="37">
        <v>0</v>
      </c>
      <c r="AC73" s="37">
        <v>0</v>
      </c>
      <c r="AD73" s="37">
        <v>0</v>
      </c>
      <c r="AE73" s="37">
        <v>0</v>
      </c>
      <c r="AF73" s="37">
        <f>AF64+T73</f>
        <v>9125</v>
      </c>
      <c r="AG73" s="37"/>
      <c r="AH73" s="37"/>
      <c r="AI73" s="37"/>
      <c r="AK73" s="37"/>
      <c r="AL73" s="37"/>
      <c r="AM73" s="37"/>
      <c r="AN73" s="37"/>
      <c r="AO73" s="37"/>
      <c r="AP73" s="37"/>
      <c r="AQ73" s="37"/>
      <c r="AR73" s="37"/>
    </row>
    <row r="74" spans="1:44" x14ac:dyDescent="0.3">
      <c r="A74" s="37" t="s">
        <v>66</v>
      </c>
      <c r="B74" s="37" t="s">
        <v>305</v>
      </c>
      <c r="C74" s="43">
        <v>46145</v>
      </c>
      <c r="D74" s="37" t="s">
        <v>297</v>
      </c>
      <c r="E74" s="37" t="s">
        <v>66</v>
      </c>
      <c r="F74" s="37" t="s">
        <v>66</v>
      </c>
      <c r="G74" s="37" t="s">
        <v>306</v>
      </c>
      <c r="H74" s="38">
        <v>93</v>
      </c>
      <c r="I74" s="38">
        <v>1171800</v>
      </c>
      <c r="J74" s="37" t="s">
        <v>66</v>
      </c>
      <c r="K74" s="37" t="s">
        <v>307</v>
      </c>
      <c r="L74" s="37" t="s">
        <v>124</v>
      </c>
      <c r="M74" s="37" t="s">
        <v>142</v>
      </c>
      <c r="N74" s="37" t="s">
        <v>200</v>
      </c>
      <c r="O74" s="37" t="s">
        <v>105</v>
      </c>
      <c r="P74" s="37">
        <v>0</v>
      </c>
      <c r="Q74" s="39">
        <v>0</v>
      </c>
      <c r="R74" s="39">
        <v>0</v>
      </c>
      <c r="S74" s="37">
        <v>0</v>
      </c>
      <c r="T74" s="41">
        <v>0</v>
      </c>
      <c r="U74" s="40">
        <v>268</v>
      </c>
      <c r="V74" s="39">
        <v>45.1</v>
      </c>
      <c r="W74" s="39">
        <v>0.1</v>
      </c>
      <c r="X74" s="37">
        <v>11790</v>
      </c>
      <c r="Y74" s="37">
        <v>11790</v>
      </c>
      <c r="Z74" s="37">
        <v>0</v>
      </c>
      <c r="AA74" s="37">
        <v>0</v>
      </c>
      <c r="AB74" s="37">
        <v>0</v>
      </c>
      <c r="AC74" s="37">
        <v>0</v>
      </c>
      <c r="AD74" s="37">
        <v>0</v>
      </c>
      <c r="AE74" s="37">
        <v>0</v>
      </c>
      <c r="AF74" s="37">
        <f>AF70-Y74</f>
        <v>148975</v>
      </c>
      <c r="AG74" s="37"/>
      <c r="AH74" s="37"/>
      <c r="AI74" s="53"/>
      <c r="AJ74" s="62"/>
      <c r="AK74" s="40"/>
      <c r="AL74" s="37"/>
      <c r="AM74" s="37"/>
      <c r="AN74" s="37"/>
      <c r="AO74" s="37"/>
      <c r="AP74" s="37"/>
      <c r="AQ74" s="37"/>
      <c r="AR74" s="37"/>
    </row>
    <row r="75" spans="1:44" x14ac:dyDescent="0.3">
      <c r="A75" s="37" t="s">
        <v>308</v>
      </c>
      <c r="B75" s="37" t="s">
        <v>66</v>
      </c>
      <c r="C75" s="43">
        <v>46146</v>
      </c>
      <c r="D75" s="37" t="s">
        <v>309</v>
      </c>
      <c r="E75" s="37" t="s">
        <v>66</v>
      </c>
      <c r="F75" s="37" t="s">
        <v>66</v>
      </c>
      <c r="G75" s="37" t="s">
        <v>310</v>
      </c>
      <c r="H75" s="38">
        <v>99</v>
      </c>
      <c r="I75" s="38">
        <v>1871100</v>
      </c>
      <c r="J75" s="37" t="s">
        <v>66</v>
      </c>
      <c r="K75" s="37" t="s">
        <v>199</v>
      </c>
      <c r="L75" s="37" t="s">
        <v>124</v>
      </c>
      <c r="M75" s="37" t="s">
        <v>116</v>
      </c>
      <c r="N75" s="48" t="s">
        <v>266</v>
      </c>
      <c r="O75" s="37" t="s">
        <v>105</v>
      </c>
      <c r="P75" s="37">
        <v>720</v>
      </c>
      <c r="Q75" s="39">
        <v>25.12</v>
      </c>
      <c r="R75" s="39">
        <v>0.12</v>
      </c>
      <c r="S75" s="37">
        <v>18160</v>
      </c>
      <c r="T75" s="41">
        <v>18000</v>
      </c>
      <c r="U75" s="40">
        <v>0</v>
      </c>
      <c r="V75" s="39">
        <v>0</v>
      </c>
      <c r="W75" s="39">
        <v>0</v>
      </c>
      <c r="X75" s="37">
        <v>0</v>
      </c>
      <c r="Y75" s="37">
        <v>0</v>
      </c>
      <c r="Z75" s="37">
        <v>0</v>
      </c>
      <c r="AA75" s="37">
        <v>0</v>
      </c>
      <c r="AB75" s="37">
        <v>0</v>
      </c>
      <c r="AC75" s="37">
        <v>0</v>
      </c>
      <c r="AD75" s="37">
        <v>0</v>
      </c>
      <c r="AE75" s="37">
        <v>0</v>
      </c>
      <c r="AF75" s="37">
        <f>AF72+T75</f>
        <v>121800</v>
      </c>
      <c r="AG75" s="37"/>
      <c r="AH75" s="37"/>
      <c r="AI75" s="37"/>
      <c r="AK75" s="37"/>
      <c r="AL75" s="37"/>
      <c r="AM75" s="37"/>
      <c r="AN75" s="37"/>
      <c r="AO75" s="37"/>
      <c r="AP75" s="37"/>
      <c r="AQ75" s="37"/>
      <c r="AR75" s="37"/>
    </row>
    <row r="76" spans="1:44" x14ac:dyDescent="0.3">
      <c r="A76" s="37" t="s">
        <v>66</v>
      </c>
      <c r="B76" s="37" t="s">
        <v>311</v>
      </c>
      <c r="C76" s="43">
        <v>46146</v>
      </c>
      <c r="D76" s="37" t="s">
        <v>312</v>
      </c>
      <c r="E76" s="37" t="s">
        <v>313</v>
      </c>
      <c r="F76" s="48" t="s">
        <v>314</v>
      </c>
      <c r="G76" s="37" t="s">
        <v>51</v>
      </c>
      <c r="H76" s="39">
        <v>196.96899999999999</v>
      </c>
      <c r="I76" s="38">
        <v>2901424</v>
      </c>
      <c r="J76" s="37" t="s">
        <v>315</v>
      </c>
      <c r="K76" s="37" t="s">
        <v>50</v>
      </c>
      <c r="L76" s="37" t="s">
        <v>164</v>
      </c>
      <c r="M76" s="37" t="s">
        <v>165</v>
      </c>
      <c r="N76" s="37" t="s">
        <v>250</v>
      </c>
      <c r="O76" s="37" t="s">
        <v>105</v>
      </c>
      <c r="P76" s="37">
        <v>0</v>
      </c>
      <c r="Q76" s="39">
        <v>0</v>
      </c>
      <c r="R76" s="39">
        <v>0</v>
      </c>
      <c r="S76" s="37">
        <v>0</v>
      </c>
      <c r="T76" s="41">
        <v>0</v>
      </c>
      <c r="U76" s="40">
        <v>640</v>
      </c>
      <c r="V76" s="39">
        <v>25.08</v>
      </c>
      <c r="W76" s="39">
        <v>0.08</v>
      </c>
      <c r="X76" s="37">
        <v>16100</v>
      </c>
      <c r="Y76" s="37">
        <v>16000</v>
      </c>
      <c r="Z76" s="37">
        <v>0</v>
      </c>
      <c r="AA76" s="37">
        <v>0</v>
      </c>
      <c r="AB76" s="37">
        <v>0</v>
      </c>
      <c r="AC76" s="37">
        <v>0</v>
      </c>
      <c r="AD76" s="37">
        <v>0</v>
      </c>
      <c r="AE76" s="37">
        <v>0</v>
      </c>
      <c r="AF76" s="37">
        <f>AF68-Y76</f>
        <v>80138</v>
      </c>
      <c r="AG76" s="37"/>
      <c r="AH76" s="37"/>
      <c r="AI76" s="37"/>
      <c r="AJ76" s="47" t="s">
        <v>190</v>
      </c>
      <c r="AK76" s="37"/>
      <c r="AL76" s="37"/>
      <c r="AM76" s="37"/>
      <c r="AN76" s="37"/>
      <c r="AO76" s="37"/>
      <c r="AP76" s="37"/>
      <c r="AQ76" s="37"/>
      <c r="AR76" s="37"/>
    </row>
    <row r="77" spans="1:44" x14ac:dyDescent="0.3">
      <c r="A77" s="137" t="s">
        <v>316</v>
      </c>
      <c r="B77" s="137" t="s">
        <v>66</v>
      </c>
      <c r="C77" s="139">
        <v>46147</v>
      </c>
      <c r="D77" s="137" t="s">
        <v>216</v>
      </c>
      <c r="E77" s="137" t="s">
        <v>66</v>
      </c>
      <c r="F77" s="137" t="s">
        <v>66</v>
      </c>
      <c r="G77" s="37" t="s">
        <v>29</v>
      </c>
      <c r="H77" s="38">
        <v>171.63</v>
      </c>
      <c r="I77" s="38">
        <v>1155877</v>
      </c>
      <c r="J77" s="137" t="s">
        <v>66</v>
      </c>
      <c r="K77" s="137" t="s">
        <v>8</v>
      </c>
      <c r="L77" s="137" t="s">
        <v>164</v>
      </c>
      <c r="M77" s="37" t="s">
        <v>165</v>
      </c>
      <c r="N77" s="37" t="s">
        <v>160</v>
      </c>
      <c r="O77" s="37" t="s">
        <v>161</v>
      </c>
      <c r="P77" s="37">
        <v>110</v>
      </c>
      <c r="Q77" s="39">
        <v>60.11</v>
      </c>
      <c r="R77" s="39">
        <v>0.11</v>
      </c>
      <c r="S77" s="137">
        <v>10830</v>
      </c>
      <c r="T77" s="41">
        <f>6414-12</f>
        <v>6402</v>
      </c>
      <c r="U77" s="40">
        <v>0</v>
      </c>
      <c r="V77" s="39">
        <v>0</v>
      </c>
      <c r="W77" s="39">
        <v>0</v>
      </c>
      <c r="X77" s="37">
        <v>0</v>
      </c>
      <c r="Y77" s="37">
        <v>0</v>
      </c>
      <c r="Z77" s="37">
        <v>0</v>
      </c>
      <c r="AA77" s="37">
        <v>0</v>
      </c>
      <c r="AB77" s="37">
        <v>0</v>
      </c>
      <c r="AC77" s="37">
        <v>0</v>
      </c>
      <c r="AD77" s="37">
        <v>0</v>
      </c>
      <c r="AE77" s="37">
        <v>0</v>
      </c>
      <c r="AF77" s="37">
        <f>AF76+T77</f>
        <v>86540</v>
      </c>
      <c r="AG77" s="37"/>
      <c r="AH77" s="37"/>
      <c r="AI77" s="37"/>
      <c r="AJ77" s="47" t="s">
        <v>166</v>
      </c>
      <c r="AK77" s="37"/>
      <c r="AL77" s="37"/>
      <c r="AM77" s="37"/>
      <c r="AN77" s="37"/>
      <c r="AO77" s="37"/>
      <c r="AP77" s="37"/>
      <c r="AQ77" s="37"/>
      <c r="AR77" s="37"/>
    </row>
    <row r="78" spans="1:44" x14ac:dyDescent="0.3">
      <c r="A78" s="140"/>
      <c r="B78" s="140"/>
      <c r="C78" s="140"/>
      <c r="D78" s="140"/>
      <c r="E78" s="140"/>
      <c r="F78" s="140"/>
      <c r="G78" s="37" t="s">
        <v>28</v>
      </c>
      <c r="H78" s="38">
        <v>169.59</v>
      </c>
      <c r="I78" s="38">
        <v>529757</v>
      </c>
      <c r="J78" s="140"/>
      <c r="K78" s="140"/>
      <c r="L78" s="140"/>
      <c r="M78" s="37" t="s">
        <v>165</v>
      </c>
      <c r="N78" s="37" t="s">
        <v>160</v>
      </c>
      <c r="O78" s="37" t="s">
        <v>161</v>
      </c>
      <c r="P78" s="37">
        <v>59</v>
      </c>
      <c r="Q78" s="39">
        <v>60.11</v>
      </c>
      <c r="R78" s="39">
        <v>0.11</v>
      </c>
      <c r="S78" s="140"/>
      <c r="T78" s="41">
        <f>2975-7</f>
        <v>2968</v>
      </c>
      <c r="U78" s="40">
        <v>0</v>
      </c>
      <c r="V78" s="39">
        <v>0</v>
      </c>
      <c r="W78" s="39">
        <v>0</v>
      </c>
      <c r="X78" s="37">
        <v>0</v>
      </c>
      <c r="Y78" s="37">
        <v>0</v>
      </c>
      <c r="Z78" s="37">
        <v>0</v>
      </c>
      <c r="AA78" s="37">
        <v>0</v>
      </c>
      <c r="AB78" s="37">
        <v>0</v>
      </c>
      <c r="AC78" s="37">
        <v>0</v>
      </c>
      <c r="AD78" s="37">
        <v>0</v>
      </c>
      <c r="AE78" s="37">
        <v>0</v>
      </c>
      <c r="AF78" s="37">
        <f>AF77+T78</f>
        <v>89508</v>
      </c>
      <c r="AG78" s="37"/>
      <c r="AH78" s="37"/>
      <c r="AI78" s="37"/>
      <c r="AJ78" s="47" t="s">
        <v>166</v>
      </c>
      <c r="AK78" s="37"/>
      <c r="AL78" s="37"/>
      <c r="AM78" s="37"/>
      <c r="AN78" s="37"/>
      <c r="AO78" s="37"/>
      <c r="AP78" s="37"/>
      <c r="AQ78" s="37"/>
      <c r="AR78" s="37"/>
    </row>
    <row r="79" spans="1:44" x14ac:dyDescent="0.3">
      <c r="A79" s="138"/>
      <c r="B79" s="138"/>
      <c r="C79" s="138"/>
      <c r="D79" s="138"/>
      <c r="E79" s="138"/>
      <c r="F79" s="138"/>
      <c r="G79" s="37" t="s">
        <v>317</v>
      </c>
      <c r="H79" s="38">
        <v>82.62</v>
      </c>
      <c r="I79" s="38">
        <v>134106</v>
      </c>
      <c r="J79" s="138"/>
      <c r="K79" s="138"/>
      <c r="L79" s="138"/>
      <c r="M79" s="37" t="s">
        <v>171</v>
      </c>
      <c r="N79" s="37" t="s">
        <v>172</v>
      </c>
      <c r="O79" s="37" t="s">
        <v>161</v>
      </c>
      <c r="P79" s="37">
        <v>34</v>
      </c>
      <c r="Q79" s="39">
        <v>50.1</v>
      </c>
      <c r="R79" s="39">
        <v>0.1</v>
      </c>
      <c r="S79" s="138"/>
      <c r="T79" s="41">
        <f>1652-4</f>
        <v>1648</v>
      </c>
      <c r="U79" s="40">
        <v>0</v>
      </c>
      <c r="V79" s="39">
        <v>0</v>
      </c>
      <c r="W79" s="39">
        <v>0</v>
      </c>
      <c r="X79" s="37">
        <v>0</v>
      </c>
      <c r="Y79" s="37">
        <v>0</v>
      </c>
      <c r="Z79" s="37">
        <v>0</v>
      </c>
      <c r="AA79" s="37">
        <v>0</v>
      </c>
      <c r="AB79" s="37">
        <v>0</v>
      </c>
      <c r="AC79" s="37">
        <v>0</v>
      </c>
      <c r="AD79" s="37">
        <v>0</v>
      </c>
      <c r="AE79" s="37">
        <v>0</v>
      </c>
      <c r="AF79" s="37">
        <f>AF37+T79</f>
        <v>67524</v>
      </c>
      <c r="AG79" s="37"/>
      <c r="AH79" s="37"/>
      <c r="AI79" s="37"/>
      <c r="AJ79" s="33" t="s">
        <v>318</v>
      </c>
      <c r="AK79" s="37"/>
      <c r="AL79" s="37"/>
      <c r="AM79" s="37"/>
      <c r="AN79" s="37"/>
      <c r="AO79" s="37"/>
      <c r="AP79" s="37"/>
      <c r="AQ79" s="37"/>
      <c r="AR79" s="37"/>
    </row>
    <row r="80" spans="1:44" x14ac:dyDescent="0.3">
      <c r="A80" s="37" t="s">
        <v>319</v>
      </c>
      <c r="B80" s="37" t="s">
        <v>66</v>
      </c>
      <c r="C80" s="43">
        <v>46147</v>
      </c>
      <c r="D80" s="37" t="s">
        <v>320</v>
      </c>
      <c r="E80" s="37" t="s">
        <v>66</v>
      </c>
      <c r="F80" s="37" t="s">
        <v>66</v>
      </c>
      <c r="G80" s="37" t="s">
        <v>321</v>
      </c>
      <c r="H80" s="38">
        <v>69</v>
      </c>
      <c r="I80" s="38">
        <v>289800</v>
      </c>
      <c r="J80" s="37" t="s">
        <v>66</v>
      </c>
      <c r="K80" s="37" t="s">
        <v>322</v>
      </c>
      <c r="L80" s="37" t="s">
        <v>185</v>
      </c>
      <c r="M80" s="37" t="s">
        <v>183</v>
      </c>
      <c r="N80" s="37" t="s">
        <v>187</v>
      </c>
      <c r="O80" s="37" t="s">
        <v>105</v>
      </c>
      <c r="P80" s="37">
        <v>160</v>
      </c>
      <c r="Q80" s="39">
        <v>25.07</v>
      </c>
      <c r="R80" s="39">
        <v>7.0000000000000007E-2</v>
      </c>
      <c r="S80" s="37">
        <v>4000</v>
      </c>
      <c r="T80" s="41">
        <v>4000</v>
      </c>
      <c r="U80" s="40">
        <v>0</v>
      </c>
      <c r="V80" s="39">
        <v>0</v>
      </c>
      <c r="W80" s="39">
        <v>0</v>
      </c>
      <c r="X80" s="37">
        <v>0</v>
      </c>
      <c r="Y80" s="37">
        <v>0</v>
      </c>
      <c r="Z80" s="37">
        <v>0</v>
      </c>
      <c r="AA80" s="37">
        <v>0</v>
      </c>
      <c r="AB80" s="37">
        <v>0</v>
      </c>
      <c r="AC80" s="37">
        <v>0</v>
      </c>
      <c r="AD80" s="37">
        <v>0</v>
      </c>
      <c r="AE80" s="37">
        <v>0</v>
      </c>
      <c r="AF80" s="37">
        <f>T80</f>
        <v>4000</v>
      </c>
      <c r="AG80" s="37"/>
      <c r="AH80" s="37"/>
      <c r="AI80" s="37"/>
      <c r="AK80" s="37"/>
      <c r="AL80" s="37"/>
      <c r="AM80" s="37"/>
      <c r="AN80" s="37"/>
      <c r="AO80" s="37"/>
      <c r="AP80" s="37"/>
      <c r="AQ80" s="37"/>
      <c r="AR80" s="37"/>
    </row>
    <row r="81" spans="1:44" x14ac:dyDescent="0.3">
      <c r="A81" s="37" t="s">
        <v>66</v>
      </c>
      <c r="B81" s="37" t="s">
        <v>323</v>
      </c>
      <c r="C81" s="43">
        <v>46148</v>
      </c>
      <c r="D81" s="37" t="s">
        <v>324</v>
      </c>
      <c r="E81" s="37" t="s">
        <v>66</v>
      </c>
      <c r="F81" s="37" t="s">
        <v>66</v>
      </c>
      <c r="G81" s="37" t="s">
        <v>53</v>
      </c>
      <c r="H81" s="38">
        <v>172</v>
      </c>
      <c r="I81" s="38">
        <v>4334400</v>
      </c>
      <c r="J81" s="37" t="s">
        <v>66</v>
      </c>
      <c r="K81" s="37" t="s">
        <v>52</v>
      </c>
      <c r="L81" s="37" t="s">
        <v>164</v>
      </c>
      <c r="M81" s="37" t="s">
        <v>165</v>
      </c>
      <c r="N81" s="37" t="s">
        <v>325</v>
      </c>
      <c r="O81" s="37" t="s">
        <v>105</v>
      </c>
      <c r="P81" s="37">
        <v>0</v>
      </c>
      <c r="Q81" s="39">
        <v>0</v>
      </c>
      <c r="R81" s="39">
        <v>0</v>
      </c>
      <c r="S81" s="37">
        <v>0</v>
      </c>
      <c r="T81" s="41">
        <v>0</v>
      </c>
      <c r="U81" s="40">
        <v>960</v>
      </c>
      <c r="V81" s="39">
        <v>25.11</v>
      </c>
      <c r="W81" s="39">
        <v>0.11</v>
      </c>
      <c r="X81" s="37">
        <v>24180</v>
      </c>
      <c r="Y81" s="37">
        <v>24000</v>
      </c>
      <c r="Z81" s="37">
        <v>0</v>
      </c>
      <c r="AA81" s="37">
        <v>0</v>
      </c>
      <c r="AB81" s="37">
        <v>0</v>
      </c>
      <c r="AC81" s="37">
        <v>0</v>
      </c>
      <c r="AD81" s="37">
        <v>0</v>
      </c>
      <c r="AE81" s="37">
        <v>0</v>
      </c>
      <c r="AF81" s="37">
        <f>AF78-Y81</f>
        <v>65508</v>
      </c>
      <c r="AG81" s="37"/>
      <c r="AH81" s="37"/>
      <c r="AI81" s="37"/>
      <c r="AJ81" s="47" t="s">
        <v>190</v>
      </c>
      <c r="AK81" s="37"/>
      <c r="AL81" s="37"/>
      <c r="AM81" s="37"/>
      <c r="AN81" s="37"/>
      <c r="AO81" s="37"/>
      <c r="AP81" s="37"/>
      <c r="AQ81" s="37"/>
      <c r="AR81" s="37"/>
    </row>
    <row r="82" spans="1:44" x14ac:dyDescent="0.3">
      <c r="A82" s="37" t="s">
        <v>66</v>
      </c>
      <c r="B82" s="37" t="s">
        <v>326</v>
      </c>
      <c r="C82" s="43">
        <v>46148</v>
      </c>
      <c r="D82" s="37" t="s">
        <v>327</v>
      </c>
      <c r="E82" s="37" t="s">
        <v>328</v>
      </c>
      <c r="F82" s="37" t="s">
        <v>329</v>
      </c>
      <c r="G82" s="37" t="s">
        <v>330</v>
      </c>
      <c r="H82" s="39">
        <v>121.471</v>
      </c>
      <c r="I82" s="38">
        <v>3036775</v>
      </c>
      <c r="J82" s="37" t="s">
        <v>131</v>
      </c>
      <c r="K82" s="37" t="s">
        <v>132</v>
      </c>
      <c r="L82" s="37" t="s">
        <v>133</v>
      </c>
      <c r="M82" s="37" t="s">
        <v>134</v>
      </c>
      <c r="N82" s="16" t="s">
        <v>331</v>
      </c>
      <c r="O82" s="37" t="s">
        <v>105</v>
      </c>
      <c r="P82" s="37">
        <v>0</v>
      </c>
      <c r="Q82" s="39">
        <v>0</v>
      </c>
      <c r="R82" s="39">
        <v>0</v>
      </c>
      <c r="S82" s="37">
        <v>0</v>
      </c>
      <c r="T82" s="41">
        <v>0</v>
      </c>
      <c r="U82" s="40">
        <v>500</v>
      </c>
      <c r="V82" s="22">
        <v>50.24</v>
      </c>
      <c r="W82" s="22">
        <v>0.24</v>
      </c>
      <c r="X82" s="37">
        <v>25215</v>
      </c>
      <c r="Y82" s="37">
        <v>25000</v>
      </c>
      <c r="Z82" s="37">
        <v>0</v>
      </c>
      <c r="AA82" s="37">
        <v>0</v>
      </c>
      <c r="AB82" s="37">
        <v>0</v>
      </c>
      <c r="AC82" s="37">
        <v>0</v>
      </c>
      <c r="AD82" s="37">
        <v>0</v>
      </c>
      <c r="AE82" s="37">
        <v>0</v>
      </c>
      <c r="AF82" s="37">
        <f>AF66-Y82</f>
        <v>24907</v>
      </c>
      <c r="AG82" s="37"/>
      <c r="AH82" s="37"/>
      <c r="AI82" s="37"/>
      <c r="AJ82" s="46" t="s">
        <v>332</v>
      </c>
      <c r="AK82" s="37"/>
      <c r="AL82" s="37"/>
      <c r="AM82" s="37"/>
      <c r="AN82" s="37"/>
      <c r="AO82" s="37"/>
      <c r="AP82" s="37"/>
      <c r="AQ82" s="37"/>
      <c r="AR82" s="37"/>
    </row>
    <row r="83" spans="1:44" x14ac:dyDescent="0.3">
      <c r="A83" s="137" t="s">
        <v>333</v>
      </c>
      <c r="B83" s="137" t="s">
        <v>66</v>
      </c>
      <c r="C83" s="139">
        <v>46150</v>
      </c>
      <c r="D83" s="164" t="s">
        <v>334</v>
      </c>
      <c r="E83" s="137" t="s">
        <v>66</v>
      </c>
      <c r="F83" s="137" t="s">
        <v>66</v>
      </c>
      <c r="G83" s="137" t="s">
        <v>335</v>
      </c>
      <c r="H83" s="38">
        <v>75</v>
      </c>
      <c r="I83" s="157">
        <v>1438500</v>
      </c>
      <c r="J83" s="137" t="s">
        <v>66</v>
      </c>
      <c r="K83" s="137" t="s">
        <v>273</v>
      </c>
      <c r="L83" s="137" t="s">
        <v>115</v>
      </c>
      <c r="M83" s="137" t="s">
        <v>142</v>
      </c>
      <c r="N83" s="37" t="s">
        <v>298</v>
      </c>
      <c r="O83" s="137" t="s">
        <v>105</v>
      </c>
      <c r="P83" s="37">
        <v>320</v>
      </c>
      <c r="Q83" s="39">
        <v>25.12</v>
      </c>
      <c r="R83" s="39">
        <v>0.12</v>
      </c>
      <c r="S83" s="137">
        <v>15130</v>
      </c>
      <c r="T83" s="41">
        <v>8000</v>
      </c>
      <c r="U83" s="40">
        <v>0</v>
      </c>
      <c r="V83" s="39">
        <v>0</v>
      </c>
      <c r="W83" s="39">
        <v>0</v>
      </c>
      <c r="X83" s="37">
        <v>0</v>
      </c>
      <c r="Y83" s="37">
        <v>0</v>
      </c>
      <c r="Z83" s="37">
        <v>0</v>
      </c>
      <c r="AA83" s="37">
        <v>0</v>
      </c>
      <c r="AB83" s="37">
        <v>0</v>
      </c>
      <c r="AC83" s="37">
        <v>0</v>
      </c>
      <c r="AD83" s="37">
        <v>0</v>
      </c>
      <c r="AE83" s="37">
        <v>0</v>
      </c>
      <c r="AF83" s="37">
        <f>AF74+T83</f>
        <v>156975</v>
      </c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</row>
    <row r="84" spans="1:44" x14ac:dyDescent="0.3">
      <c r="A84" s="140"/>
      <c r="B84" s="140"/>
      <c r="C84" s="140"/>
      <c r="D84" s="140"/>
      <c r="E84" s="140"/>
      <c r="F84" s="140"/>
      <c r="G84" s="140"/>
      <c r="H84" s="38">
        <v>95</v>
      </c>
      <c r="I84" s="140"/>
      <c r="J84" s="140"/>
      <c r="K84" s="140"/>
      <c r="L84" s="140"/>
      <c r="M84" s="140"/>
      <c r="N84" s="37" t="s">
        <v>200</v>
      </c>
      <c r="O84" s="140"/>
      <c r="P84" s="37">
        <v>160</v>
      </c>
      <c r="Q84" s="39">
        <v>25.12</v>
      </c>
      <c r="R84" s="39">
        <v>0.12</v>
      </c>
      <c r="S84" s="140"/>
      <c r="T84" s="41">
        <v>4000</v>
      </c>
      <c r="U84" s="40">
        <v>0</v>
      </c>
      <c r="V84" s="39">
        <v>0</v>
      </c>
      <c r="W84" s="39">
        <v>0</v>
      </c>
      <c r="X84" s="37">
        <v>0</v>
      </c>
      <c r="Y84" s="37">
        <v>0</v>
      </c>
      <c r="Z84" s="37">
        <v>0</v>
      </c>
      <c r="AA84" s="37">
        <v>0</v>
      </c>
      <c r="AB84" s="37">
        <v>0</v>
      </c>
      <c r="AC84" s="37">
        <v>0</v>
      </c>
      <c r="AD84" s="37">
        <v>0</v>
      </c>
      <c r="AE84" s="37">
        <v>0</v>
      </c>
      <c r="AF84" s="37">
        <f>AF83+T84</f>
        <v>160975</v>
      </c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</row>
    <row r="85" spans="1:44" x14ac:dyDescent="0.3">
      <c r="A85" s="138"/>
      <c r="B85" s="138"/>
      <c r="C85" s="138"/>
      <c r="D85" s="138"/>
      <c r="E85" s="138"/>
      <c r="F85" s="138"/>
      <c r="G85" s="138"/>
      <c r="H85" s="38">
        <v>130</v>
      </c>
      <c r="I85" s="138"/>
      <c r="J85" s="138"/>
      <c r="K85" s="138"/>
      <c r="L85" s="138"/>
      <c r="M85" s="138"/>
      <c r="N85" s="37" t="s">
        <v>202</v>
      </c>
      <c r="O85" s="138"/>
      <c r="P85" s="37">
        <v>120</v>
      </c>
      <c r="Q85" s="39">
        <v>25.12</v>
      </c>
      <c r="R85" s="39">
        <v>0.12</v>
      </c>
      <c r="S85" s="138"/>
      <c r="T85" s="41">
        <v>3000</v>
      </c>
      <c r="U85" s="40">
        <v>0</v>
      </c>
      <c r="V85" s="39">
        <v>0</v>
      </c>
      <c r="W85" s="39">
        <v>0</v>
      </c>
      <c r="X85" s="37">
        <v>0</v>
      </c>
      <c r="Y85" s="37">
        <v>0</v>
      </c>
      <c r="Z85" s="37">
        <v>0</v>
      </c>
      <c r="AA85" s="37">
        <v>0</v>
      </c>
      <c r="AB85" s="37">
        <v>0</v>
      </c>
      <c r="AC85" s="37">
        <v>0</v>
      </c>
      <c r="AD85" s="37">
        <v>0</v>
      </c>
      <c r="AE85" s="37">
        <v>0</v>
      </c>
      <c r="AF85" s="37">
        <f>AF84+T85</f>
        <v>163975</v>
      </c>
      <c r="AG85" s="37"/>
      <c r="AH85" s="37"/>
      <c r="AI85" s="37"/>
      <c r="AK85" s="37"/>
      <c r="AL85" s="37"/>
      <c r="AM85" s="37"/>
      <c r="AN85" s="37"/>
      <c r="AO85" s="37"/>
      <c r="AP85" s="37"/>
      <c r="AQ85" s="37"/>
      <c r="AR85" s="37"/>
    </row>
    <row r="86" spans="1:44" x14ac:dyDescent="0.3">
      <c r="A86" s="37" t="s">
        <v>66</v>
      </c>
      <c r="B86" s="37" t="s">
        <v>336</v>
      </c>
      <c r="C86" s="43">
        <v>46150</v>
      </c>
      <c r="D86" s="37" t="s">
        <v>337</v>
      </c>
      <c r="E86" s="37" t="s">
        <v>66</v>
      </c>
      <c r="F86" s="37" t="s">
        <v>66</v>
      </c>
      <c r="G86" s="37" t="s">
        <v>55</v>
      </c>
      <c r="H86" s="38">
        <v>192</v>
      </c>
      <c r="I86" s="38">
        <v>5443200</v>
      </c>
      <c r="J86" s="37" t="s">
        <v>66</v>
      </c>
      <c r="K86" s="37" t="s">
        <v>54</v>
      </c>
      <c r="L86" s="37" t="s">
        <v>164</v>
      </c>
      <c r="M86" s="37" t="s">
        <v>165</v>
      </c>
      <c r="N86" s="37" t="s">
        <v>325</v>
      </c>
      <c r="O86" s="37" t="s">
        <v>105</v>
      </c>
      <c r="P86" s="37">
        <v>0</v>
      </c>
      <c r="Q86" s="39">
        <v>0</v>
      </c>
      <c r="R86" s="39">
        <v>0</v>
      </c>
      <c r="S86" s="37">
        <v>0</v>
      </c>
      <c r="T86" s="41">
        <v>0</v>
      </c>
      <c r="U86" s="40">
        <v>2700</v>
      </c>
      <c r="V86" s="39">
        <v>10.06</v>
      </c>
      <c r="W86" s="39">
        <v>0.06</v>
      </c>
      <c r="X86" s="37">
        <v>27215</v>
      </c>
      <c r="Y86" s="37">
        <v>27000</v>
      </c>
      <c r="Z86" s="37">
        <v>0</v>
      </c>
      <c r="AA86" s="37">
        <v>0</v>
      </c>
      <c r="AB86" s="37">
        <v>0</v>
      </c>
      <c r="AC86" s="37">
        <v>0</v>
      </c>
      <c r="AD86" s="37">
        <v>0</v>
      </c>
      <c r="AE86" s="37">
        <v>0</v>
      </c>
      <c r="AF86" s="37">
        <f>AF81-Y86</f>
        <v>38508</v>
      </c>
      <c r="AG86" s="37"/>
      <c r="AH86" s="37"/>
      <c r="AI86" s="37"/>
      <c r="AJ86" s="47" t="s">
        <v>190</v>
      </c>
      <c r="AK86" s="37"/>
      <c r="AL86" s="37"/>
      <c r="AM86" s="37"/>
      <c r="AN86" s="37"/>
      <c r="AO86" s="37"/>
      <c r="AP86" s="37"/>
      <c r="AQ86" s="37"/>
      <c r="AR86" s="37"/>
    </row>
    <row r="87" spans="1:44" x14ac:dyDescent="0.3">
      <c r="A87" s="137" t="s">
        <v>66</v>
      </c>
      <c r="B87" s="137" t="s">
        <v>338</v>
      </c>
      <c r="C87" s="139">
        <v>46151</v>
      </c>
      <c r="D87" s="137" t="s">
        <v>339</v>
      </c>
      <c r="E87" s="137" t="s">
        <v>340</v>
      </c>
      <c r="F87" s="137" t="s">
        <v>341</v>
      </c>
      <c r="G87" s="137" t="s">
        <v>342</v>
      </c>
      <c r="H87" s="39">
        <v>117.045</v>
      </c>
      <c r="I87" s="157">
        <v>2966295</v>
      </c>
      <c r="J87" s="137" t="s">
        <v>66</v>
      </c>
      <c r="K87" s="137" t="s">
        <v>343</v>
      </c>
      <c r="L87" s="37" t="s">
        <v>115</v>
      </c>
      <c r="M87" s="37" t="s">
        <v>116</v>
      </c>
      <c r="N87" s="37" t="s">
        <v>274</v>
      </c>
      <c r="O87" s="137" t="s">
        <v>105</v>
      </c>
      <c r="P87" s="37">
        <v>0</v>
      </c>
      <c r="Q87" s="39">
        <v>0</v>
      </c>
      <c r="R87" s="39">
        <v>0</v>
      </c>
      <c r="S87" s="37">
        <v>0</v>
      </c>
      <c r="T87" s="41">
        <v>0</v>
      </c>
      <c r="U87" s="40">
        <v>640</v>
      </c>
      <c r="V87" s="39">
        <v>25.12</v>
      </c>
      <c r="W87" s="39">
        <v>0.12</v>
      </c>
      <c r="X87" s="137">
        <v>25175</v>
      </c>
      <c r="Y87" s="37">
        <v>16000</v>
      </c>
      <c r="Z87" s="37">
        <v>0</v>
      </c>
      <c r="AA87" s="37">
        <v>0</v>
      </c>
      <c r="AB87" s="37">
        <v>0</v>
      </c>
      <c r="AC87" s="37">
        <v>0</v>
      </c>
      <c r="AD87" s="37">
        <v>0</v>
      </c>
      <c r="AE87" s="37">
        <v>0</v>
      </c>
      <c r="AF87" s="37">
        <f>AF75-Y87</f>
        <v>105800</v>
      </c>
      <c r="AG87" s="37"/>
      <c r="AH87" s="37"/>
      <c r="AI87" s="37"/>
      <c r="AK87" s="37"/>
      <c r="AL87" s="37"/>
      <c r="AM87" s="37"/>
      <c r="AN87" s="37"/>
      <c r="AO87" s="37"/>
      <c r="AP87" s="37"/>
      <c r="AQ87" s="37"/>
      <c r="AR87" s="37"/>
    </row>
    <row r="88" spans="1:44" x14ac:dyDescent="0.3">
      <c r="A88" s="140"/>
      <c r="B88" s="140"/>
      <c r="C88" s="140"/>
      <c r="D88" s="140"/>
      <c r="E88" s="140"/>
      <c r="F88" s="140"/>
      <c r="G88" s="140"/>
      <c r="H88" s="39">
        <v>101.595</v>
      </c>
      <c r="I88" s="140"/>
      <c r="J88" s="140"/>
      <c r="K88" s="140"/>
      <c r="L88" s="137" t="s">
        <v>344</v>
      </c>
      <c r="M88" s="137" t="s">
        <v>142</v>
      </c>
      <c r="N88" s="37" t="s">
        <v>345</v>
      </c>
      <c r="O88" s="140"/>
      <c r="P88" s="37">
        <v>0</v>
      </c>
      <c r="Q88" s="39">
        <v>0</v>
      </c>
      <c r="R88" s="39">
        <v>0</v>
      </c>
      <c r="S88" s="37">
        <v>0</v>
      </c>
      <c r="T88" s="41">
        <v>0</v>
      </c>
      <c r="U88" s="40">
        <v>120</v>
      </c>
      <c r="V88" s="39">
        <v>25.12</v>
      </c>
      <c r="W88" s="39">
        <v>0.12</v>
      </c>
      <c r="X88" s="140"/>
      <c r="Y88" s="37">
        <v>3000</v>
      </c>
      <c r="Z88" s="37">
        <v>0</v>
      </c>
      <c r="AA88" s="37">
        <v>0</v>
      </c>
      <c r="AB88" s="37">
        <v>0</v>
      </c>
      <c r="AC88" s="37">
        <v>0</v>
      </c>
      <c r="AD88" s="37">
        <v>0</v>
      </c>
      <c r="AE88" s="37">
        <v>0</v>
      </c>
      <c r="AF88" s="37">
        <f>AF85-Y88</f>
        <v>160975</v>
      </c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</row>
    <row r="89" spans="1:44" x14ac:dyDescent="0.3">
      <c r="A89" s="138"/>
      <c r="B89" s="138"/>
      <c r="C89" s="138"/>
      <c r="D89" s="138"/>
      <c r="E89" s="138"/>
      <c r="F89" s="138"/>
      <c r="G89" s="138"/>
      <c r="H89" s="39">
        <v>131.465</v>
      </c>
      <c r="I89" s="138"/>
      <c r="J89" s="138"/>
      <c r="K89" s="138"/>
      <c r="L89" s="138"/>
      <c r="M89" s="138"/>
      <c r="N89" s="37" t="s">
        <v>346</v>
      </c>
      <c r="O89" s="138"/>
      <c r="P89" s="37">
        <v>0</v>
      </c>
      <c r="Q89" s="39">
        <v>0</v>
      </c>
      <c r="R89" s="39">
        <v>0</v>
      </c>
      <c r="S89" s="37">
        <v>0</v>
      </c>
      <c r="T89" s="41">
        <v>0</v>
      </c>
      <c r="U89" s="40">
        <v>240</v>
      </c>
      <c r="V89" s="39">
        <v>25.12</v>
      </c>
      <c r="W89" s="39">
        <v>0.12</v>
      </c>
      <c r="X89" s="138"/>
      <c r="Y89" s="37">
        <v>6000</v>
      </c>
      <c r="Z89" s="37">
        <v>0</v>
      </c>
      <c r="AA89" s="37">
        <v>0</v>
      </c>
      <c r="AB89" s="37">
        <v>0</v>
      </c>
      <c r="AC89" s="37">
        <v>0</v>
      </c>
      <c r="AD89" s="37">
        <v>0</v>
      </c>
      <c r="AE89" s="37">
        <v>0</v>
      </c>
      <c r="AF89" s="37">
        <f>AF88-Y89</f>
        <v>154975</v>
      </c>
      <c r="AG89" s="37"/>
      <c r="AH89" s="37"/>
      <c r="AI89" s="37"/>
      <c r="AK89" s="37"/>
      <c r="AL89" s="37"/>
      <c r="AM89" s="37"/>
      <c r="AN89" s="37"/>
      <c r="AO89" s="37"/>
      <c r="AP89" s="37"/>
      <c r="AQ89" s="37"/>
      <c r="AR89" s="37"/>
    </row>
    <row r="90" spans="1:44" x14ac:dyDescent="0.3">
      <c r="A90" s="137" t="s">
        <v>66</v>
      </c>
      <c r="B90" s="137" t="s">
        <v>347</v>
      </c>
      <c r="C90" s="139">
        <v>46151</v>
      </c>
      <c r="D90" s="137" t="s">
        <v>127</v>
      </c>
      <c r="E90" s="137" t="s">
        <v>348</v>
      </c>
      <c r="F90" s="137" t="s">
        <v>349</v>
      </c>
      <c r="G90" s="137" t="s">
        <v>350</v>
      </c>
      <c r="H90" s="39">
        <v>101.63200000000001</v>
      </c>
      <c r="I90" s="157">
        <v>2823154</v>
      </c>
      <c r="J90" s="158" t="s">
        <v>351</v>
      </c>
      <c r="K90" s="137" t="s">
        <v>213</v>
      </c>
      <c r="L90" s="37" t="s">
        <v>352</v>
      </c>
      <c r="M90" s="137" t="s">
        <v>142</v>
      </c>
      <c r="N90" s="37" t="s">
        <v>245</v>
      </c>
      <c r="O90" s="137" t="s">
        <v>105</v>
      </c>
      <c r="P90" s="37">
        <v>0</v>
      </c>
      <c r="Q90" s="39">
        <v>0</v>
      </c>
      <c r="R90" s="39">
        <v>0</v>
      </c>
      <c r="S90" s="37">
        <v>0</v>
      </c>
      <c r="T90" s="41">
        <v>0</v>
      </c>
      <c r="U90" s="40">
        <v>680</v>
      </c>
      <c r="V90" s="39">
        <v>25.12</v>
      </c>
      <c r="W90" s="39">
        <v>0.12</v>
      </c>
      <c r="X90" s="137">
        <v>27160</v>
      </c>
      <c r="Y90" s="37">
        <v>17000</v>
      </c>
      <c r="Z90" s="37">
        <v>0</v>
      </c>
      <c r="AA90" s="37">
        <v>0</v>
      </c>
      <c r="AB90" s="37">
        <v>0</v>
      </c>
      <c r="AC90" s="37">
        <v>0</v>
      </c>
      <c r="AD90" s="37">
        <v>0</v>
      </c>
      <c r="AE90" s="37">
        <v>0</v>
      </c>
      <c r="AF90" s="37">
        <f>AF89-Y90</f>
        <v>137975</v>
      </c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</row>
    <row r="91" spans="1:44" x14ac:dyDescent="0.3">
      <c r="A91" s="140"/>
      <c r="B91" s="140"/>
      <c r="C91" s="140"/>
      <c r="D91" s="140"/>
      <c r="E91" s="140"/>
      <c r="F91" s="140"/>
      <c r="G91" s="140"/>
      <c r="H91" s="39">
        <v>96.936000000000007</v>
      </c>
      <c r="I91" s="140"/>
      <c r="J91" s="140"/>
      <c r="K91" s="140"/>
      <c r="L91" s="37" t="s">
        <v>206</v>
      </c>
      <c r="M91" s="138"/>
      <c r="N91" s="37" t="s">
        <v>353</v>
      </c>
      <c r="O91" s="140"/>
      <c r="P91" s="37">
        <v>0</v>
      </c>
      <c r="Q91" s="39">
        <v>0</v>
      </c>
      <c r="R91" s="39">
        <v>0</v>
      </c>
      <c r="S91" s="37">
        <v>0</v>
      </c>
      <c r="T91" s="41">
        <v>0</v>
      </c>
      <c r="U91" s="40">
        <v>80</v>
      </c>
      <c r="V91" s="39">
        <v>25.12</v>
      </c>
      <c r="W91" s="39">
        <v>0.12</v>
      </c>
      <c r="X91" s="140"/>
      <c r="Y91" s="37">
        <v>2000</v>
      </c>
      <c r="Z91" s="37">
        <v>0</v>
      </c>
      <c r="AA91" s="37">
        <v>0</v>
      </c>
      <c r="AB91" s="37">
        <v>0</v>
      </c>
      <c r="AC91" s="37">
        <v>0</v>
      </c>
      <c r="AD91" s="37">
        <v>0</v>
      </c>
      <c r="AE91" s="37">
        <v>0</v>
      </c>
      <c r="AF91" s="47">
        <f>AF90-Y91</f>
        <v>135975</v>
      </c>
      <c r="AG91" s="37"/>
      <c r="AH91" s="37"/>
      <c r="AI91" s="37"/>
      <c r="AK91" s="37"/>
      <c r="AL91" s="37"/>
      <c r="AM91" s="37"/>
      <c r="AN91" s="37"/>
      <c r="AO91" s="37"/>
      <c r="AP91" s="37"/>
      <c r="AQ91" s="37"/>
      <c r="AR91" s="37"/>
    </row>
    <row r="92" spans="1:44" x14ac:dyDescent="0.3">
      <c r="A92" s="140"/>
      <c r="B92" s="140"/>
      <c r="C92" s="140"/>
      <c r="D92" s="140"/>
      <c r="E92" s="140"/>
      <c r="F92" s="140"/>
      <c r="G92" s="140"/>
      <c r="H92" s="39">
        <v>80.122</v>
      </c>
      <c r="I92" s="140"/>
      <c r="J92" s="140"/>
      <c r="K92" s="140"/>
      <c r="L92" s="37" t="s">
        <v>115</v>
      </c>
      <c r="M92" s="37" t="s">
        <v>275</v>
      </c>
      <c r="N92" s="37" t="s">
        <v>276</v>
      </c>
      <c r="O92" s="140"/>
      <c r="P92" s="37">
        <v>0</v>
      </c>
      <c r="Q92" s="39">
        <v>0</v>
      </c>
      <c r="R92" s="39">
        <v>0</v>
      </c>
      <c r="S92" s="37">
        <v>0</v>
      </c>
      <c r="T92" s="41">
        <v>0</v>
      </c>
      <c r="U92" s="40">
        <v>240</v>
      </c>
      <c r="V92" s="39">
        <v>25.12</v>
      </c>
      <c r="W92" s="39">
        <v>0.12</v>
      </c>
      <c r="X92" s="140"/>
      <c r="Y92" s="37">
        <v>6000</v>
      </c>
      <c r="Z92" s="37">
        <v>0</v>
      </c>
      <c r="AA92" s="37">
        <v>0</v>
      </c>
      <c r="AB92" s="37">
        <v>0</v>
      </c>
      <c r="AC92" s="37">
        <v>0</v>
      </c>
      <c r="AD92" s="37">
        <v>0</v>
      </c>
      <c r="AE92" s="37">
        <v>0</v>
      </c>
      <c r="AF92" s="37">
        <f>AF58-Y92</f>
        <v>0</v>
      </c>
      <c r="AG92" s="37"/>
      <c r="AH92" s="37"/>
      <c r="AI92" s="37"/>
      <c r="AJ92" s="47" t="s">
        <v>354</v>
      </c>
      <c r="AK92" s="37"/>
      <c r="AL92" s="37"/>
      <c r="AM92" s="37"/>
      <c r="AN92" s="37"/>
      <c r="AO92" s="37"/>
      <c r="AP92" s="37"/>
      <c r="AQ92" s="37"/>
      <c r="AR92" s="37"/>
    </row>
    <row r="93" spans="1:44" x14ac:dyDescent="0.3">
      <c r="A93" s="138"/>
      <c r="B93" s="138"/>
      <c r="C93" s="138"/>
      <c r="D93" s="138"/>
      <c r="E93" s="138"/>
      <c r="F93" s="138"/>
      <c r="G93" s="138"/>
      <c r="H93" s="39">
        <v>210.40299999999999</v>
      </c>
      <c r="I93" s="138"/>
      <c r="J93" s="138"/>
      <c r="K93" s="138"/>
      <c r="L93" s="37" t="s">
        <v>124</v>
      </c>
      <c r="M93" s="37" t="s">
        <v>201</v>
      </c>
      <c r="N93" s="37" t="s">
        <v>355</v>
      </c>
      <c r="O93" s="138"/>
      <c r="P93" s="37">
        <v>0</v>
      </c>
      <c r="Q93" s="39">
        <v>0</v>
      </c>
      <c r="R93" s="39">
        <v>0</v>
      </c>
      <c r="S93" s="37">
        <v>0</v>
      </c>
      <c r="T93" s="41">
        <v>0</v>
      </c>
      <c r="U93" s="40">
        <v>80</v>
      </c>
      <c r="V93" s="39">
        <v>25.1</v>
      </c>
      <c r="W93" s="39">
        <v>0.1</v>
      </c>
      <c r="X93" s="138"/>
      <c r="Y93" s="37">
        <v>2000</v>
      </c>
      <c r="Z93" s="37">
        <v>0</v>
      </c>
      <c r="AA93" s="37">
        <v>0</v>
      </c>
      <c r="AB93" s="37">
        <v>0</v>
      </c>
      <c r="AC93" s="37">
        <v>0</v>
      </c>
      <c r="AD93" s="37">
        <v>0</v>
      </c>
      <c r="AE93" s="37">
        <v>0</v>
      </c>
      <c r="AF93" s="37">
        <f>AF28-Y93</f>
        <v>5000</v>
      </c>
      <c r="AG93" s="37"/>
      <c r="AH93" s="37"/>
      <c r="AI93" s="37"/>
      <c r="AJ93" s="47" t="s">
        <v>356</v>
      </c>
      <c r="AK93" s="37"/>
      <c r="AL93" s="37"/>
      <c r="AM93" s="37"/>
      <c r="AN93" s="37"/>
      <c r="AO93" s="37"/>
      <c r="AP93" s="37"/>
      <c r="AQ93" s="37"/>
      <c r="AR93" s="37"/>
    </row>
    <row r="94" spans="1:44" x14ac:dyDescent="0.3">
      <c r="A94" s="137" t="s">
        <v>357</v>
      </c>
      <c r="B94" s="137" t="s">
        <v>66</v>
      </c>
      <c r="C94" s="139">
        <v>46152</v>
      </c>
      <c r="D94" s="137" t="s">
        <v>358</v>
      </c>
      <c r="E94" s="137" t="s">
        <v>66</v>
      </c>
      <c r="F94" s="137" t="s">
        <v>66</v>
      </c>
      <c r="G94" s="37" t="s">
        <v>30</v>
      </c>
      <c r="H94" s="38">
        <v>171.47</v>
      </c>
      <c r="I94" s="38">
        <v>772387</v>
      </c>
      <c r="J94" s="137" t="s">
        <v>66</v>
      </c>
      <c r="K94" s="137" t="s">
        <v>8</v>
      </c>
      <c r="L94" s="137" t="s">
        <v>164</v>
      </c>
      <c r="M94" s="137" t="s">
        <v>165</v>
      </c>
      <c r="N94" s="137" t="s">
        <v>160</v>
      </c>
      <c r="O94" s="137" t="s">
        <v>161</v>
      </c>
      <c r="P94" s="37">
        <v>81</v>
      </c>
      <c r="Q94" s="39">
        <v>60.11</v>
      </c>
      <c r="R94" s="39">
        <v>0.11</v>
      </c>
      <c r="S94" s="137">
        <v>9350</v>
      </c>
      <c r="T94" s="61">
        <f>4290-9</f>
        <v>4281</v>
      </c>
      <c r="U94" s="40">
        <v>0</v>
      </c>
      <c r="V94" s="39">
        <v>0</v>
      </c>
      <c r="W94" s="39">
        <v>0</v>
      </c>
      <c r="X94" s="37">
        <v>0</v>
      </c>
      <c r="Y94" s="37">
        <v>0</v>
      </c>
      <c r="Z94" s="37">
        <v>0</v>
      </c>
      <c r="AA94" s="37">
        <v>0</v>
      </c>
      <c r="AB94" s="37">
        <v>0</v>
      </c>
      <c r="AC94" s="37">
        <v>0</v>
      </c>
      <c r="AD94" s="37">
        <v>0</v>
      </c>
      <c r="AE94" s="37">
        <v>0</v>
      </c>
      <c r="AF94" s="37">
        <f>AF86+T94</f>
        <v>42789</v>
      </c>
      <c r="AG94" s="37"/>
      <c r="AH94" s="37"/>
      <c r="AI94" s="37"/>
      <c r="AJ94" s="47" t="s">
        <v>166</v>
      </c>
      <c r="AK94" s="37"/>
      <c r="AL94" s="37"/>
      <c r="AM94" s="37"/>
      <c r="AN94" s="37"/>
      <c r="AO94" s="37"/>
      <c r="AP94" s="37"/>
      <c r="AQ94" s="37"/>
      <c r="AR94" s="37"/>
    </row>
    <row r="95" spans="1:44" x14ac:dyDescent="0.3">
      <c r="A95" s="138"/>
      <c r="B95" s="138"/>
      <c r="C95" s="138"/>
      <c r="D95" s="138"/>
      <c r="E95" s="138"/>
      <c r="F95" s="138"/>
      <c r="G95" s="37" t="s">
        <v>31</v>
      </c>
      <c r="H95" s="38">
        <v>172.58</v>
      </c>
      <c r="I95" s="38">
        <v>877776</v>
      </c>
      <c r="J95" s="138"/>
      <c r="K95" s="138"/>
      <c r="L95" s="138"/>
      <c r="M95" s="138"/>
      <c r="N95" s="138"/>
      <c r="O95" s="138"/>
      <c r="P95" s="37">
        <v>84</v>
      </c>
      <c r="Q95" s="39">
        <v>60.11</v>
      </c>
      <c r="R95" s="39">
        <v>0.11</v>
      </c>
      <c r="S95" s="138"/>
      <c r="T95" s="60">
        <f>4844-9</f>
        <v>4835</v>
      </c>
      <c r="U95" s="40">
        <v>0</v>
      </c>
      <c r="V95" s="39">
        <v>0</v>
      </c>
      <c r="W95" s="39">
        <v>0</v>
      </c>
      <c r="X95" s="37">
        <v>0</v>
      </c>
      <c r="Y95" s="37">
        <v>0</v>
      </c>
      <c r="Z95" s="37">
        <v>0</v>
      </c>
      <c r="AA95" s="37">
        <v>0</v>
      </c>
      <c r="AB95" s="37">
        <v>0</v>
      </c>
      <c r="AC95" s="37">
        <v>0</v>
      </c>
      <c r="AD95" s="37">
        <v>0</v>
      </c>
      <c r="AE95" s="37">
        <v>0</v>
      </c>
      <c r="AF95" s="37">
        <f>AF94+T95</f>
        <v>47624</v>
      </c>
      <c r="AG95" s="37"/>
      <c r="AH95" s="37"/>
      <c r="AI95" s="37"/>
      <c r="AJ95" s="47" t="s">
        <v>166</v>
      </c>
      <c r="AK95" s="37"/>
      <c r="AL95" s="37"/>
      <c r="AM95" s="37"/>
      <c r="AN95" s="37"/>
      <c r="AO95" s="37"/>
      <c r="AP95" s="37"/>
      <c r="AQ95" s="37"/>
      <c r="AR95" s="37"/>
    </row>
    <row r="96" spans="1:44" x14ac:dyDescent="0.3">
      <c r="A96" s="137" t="s">
        <v>66</v>
      </c>
      <c r="B96" s="137" t="s">
        <v>359</v>
      </c>
      <c r="C96" s="139">
        <v>46153</v>
      </c>
      <c r="D96" s="137" t="s">
        <v>137</v>
      </c>
      <c r="E96" s="137" t="s">
        <v>360</v>
      </c>
      <c r="F96" s="137" t="s">
        <v>361</v>
      </c>
      <c r="G96" s="137" t="s">
        <v>56</v>
      </c>
      <c r="H96" s="39">
        <v>183.12</v>
      </c>
      <c r="I96" s="157">
        <v>4478140</v>
      </c>
      <c r="J96" s="158" t="s">
        <v>362</v>
      </c>
      <c r="K96" s="137" t="s">
        <v>50</v>
      </c>
      <c r="L96" s="37" t="s">
        <v>225</v>
      </c>
      <c r="M96" s="37" t="s">
        <v>226</v>
      </c>
      <c r="N96" s="37" t="s">
        <v>363</v>
      </c>
      <c r="O96" s="137" t="s">
        <v>105</v>
      </c>
      <c r="P96" s="37">
        <v>0</v>
      </c>
      <c r="Q96" s="39">
        <v>0</v>
      </c>
      <c r="R96" s="39">
        <v>0</v>
      </c>
      <c r="S96" s="37">
        <v>0</v>
      </c>
      <c r="T96" s="41">
        <v>0</v>
      </c>
      <c r="U96" s="37">
        <v>300</v>
      </c>
      <c r="V96" s="39">
        <v>21.1</v>
      </c>
      <c r="W96" s="39">
        <v>1.1000000000000001</v>
      </c>
      <c r="X96" s="137">
        <v>23975</v>
      </c>
      <c r="Y96" s="37">
        <v>6000</v>
      </c>
      <c r="Z96" s="37">
        <v>0</v>
      </c>
      <c r="AA96" s="37">
        <v>0</v>
      </c>
      <c r="AB96" s="37">
        <v>0</v>
      </c>
      <c r="AC96" s="37">
        <v>0</v>
      </c>
      <c r="AD96" s="37">
        <v>0</v>
      </c>
      <c r="AE96" s="37">
        <v>0</v>
      </c>
      <c r="AF96" s="37">
        <f>AF36-Y96</f>
        <v>0</v>
      </c>
      <c r="AG96" s="37"/>
      <c r="AH96" s="37"/>
      <c r="AI96" s="37"/>
      <c r="AJ96" s="47" t="s">
        <v>364</v>
      </c>
      <c r="AK96" s="37"/>
      <c r="AL96" s="37"/>
      <c r="AM96" s="37"/>
      <c r="AN96" s="37"/>
      <c r="AO96" s="37"/>
      <c r="AP96" s="37"/>
      <c r="AQ96" s="37"/>
      <c r="AR96" s="37"/>
    </row>
    <row r="97" spans="1:44" x14ac:dyDescent="0.3">
      <c r="A97" s="140"/>
      <c r="B97" s="140"/>
      <c r="C97" s="140"/>
      <c r="D97" s="140"/>
      <c r="E97" s="140"/>
      <c r="F97" s="140"/>
      <c r="G97" s="140"/>
      <c r="H97" s="39">
        <v>124.155</v>
      </c>
      <c r="I97" s="140"/>
      <c r="J97" s="140"/>
      <c r="K97" s="140"/>
      <c r="L97" s="37" t="s">
        <v>124</v>
      </c>
      <c r="M97" s="47" t="s">
        <v>142</v>
      </c>
      <c r="N97" s="37" t="s">
        <v>365</v>
      </c>
      <c r="O97" s="140"/>
      <c r="P97" s="37">
        <v>0</v>
      </c>
      <c r="Q97" s="39">
        <v>0</v>
      </c>
      <c r="R97" s="39">
        <v>0</v>
      </c>
      <c r="S97" s="37">
        <v>0</v>
      </c>
      <c r="T97" s="41">
        <v>0</v>
      </c>
      <c r="U97" s="40">
        <v>700</v>
      </c>
      <c r="V97" s="39">
        <v>10.1</v>
      </c>
      <c r="W97" s="39">
        <v>0.1</v>
      </c>
      <c r="X97" s="140"/>
      <c r="Y97" s="37">
        <v>7000</v>
      </c>
      <c r="Z97" s="37">
        <v>0</v>
      </c>
      <c r="AA97" s="37">
        <v>0</v>
      </c>
      <c r="AB97" s="37">
        <v>0</v>
      </c>
      <c r="AC97" s="37">
        <v>0</v>
      </c>
      <c r="AD97" s="37">
        <v>0</v>
      </c>
      <c r="AE97" s="37">
        <v>0</v>
      </c>
      <c r="AF97" s="47">
        <f>AF91-Y97</f>
        <v>128975</v>
      </c>
      <c r="AG97" s="37"/>
      <c r="AH97" s="37"/>
      <c r="AI97" s="37"/>
      <c r="AK97" s="37"/>
      <c r="AL97" s="37"/>
      <c r="AM97" s="37"/>
      <c r="AN97" s="37"/>
      <c r="AO97" s="37"/>
      <c r="AP97" s="37"/>
      <c r="AQ97" s="37"/>
      <c r="AR97" s="37"/>
    </row>
    <row r="98" spans="1:44" x14ac:dyDescent="0.3">
      <c r="A98" s="140"/>
      <c r="B98" s="140"/>
      <c r="C98" s="140"/>
      <c r="D98" s="140"/>
      <c r="E98" s="140"/>
      <c r="F98" s="140"/>
      <c r="G98" s="140"/>
      <c r="H98" s="39">
        <v>97.370999999999995</v>
      </c>
      <c r="I98" s="140"/>
      <c r="J98" s="140"/>
      <c r="K98" s="140"/>
      <c r="L98" s="37" t="s">
        <v>185</v>
      </c>
      <c r="M98" s="37" t="s">
        <v>183</v>
      </c>
      <c r="N98" s="37" t="s">
        <v>187</v>
      </c>
      <c r="O98" s="140"/>
      <c r="P98" s="37">
        <v>0</v>
      </c>
      <c r="Q98" s="39">
        <v>0</v>
      </c>
      <c r="R98" s="39">
        <v>0</v>
      </c>
      <c r="S98" s="37">
        <v>0</v>
      </c>
      <c r="T98" s="41">
        <v>0</v>
      </c>
      <c r="U98" s="40">
        <v>160</v>
      </c>
      <c r="V98" s="39">
        <v>25.08</v>
      </c>
      <c r="W98" s="39">
        <v>0.08</v>
      </c>
      <c r="X98" s="140"/>
      <c r="Y98" s="37">
        <v>4000</v>
      </c>
      <c r="Z98" s="37">
        <v>0</v>
      </c>
      <c r="AA98" s="37">
        <v>0</v>
      </c>
      <c r="AB98" s="37">
        <v>0</v>
      </c>
      <c r="AC98" s="37">
        <v>0</v>
      </c>
      <c r="AD98" s="37">
        <v>0</v>
      </c>
      <c r="AE98" s="37">
        <v>0</v>
      </c>
      <c r="AF98" s="37">
        <f>AF80-Y98</f>
        <v>0</v>
      </c>
      <c r="AG98" s="37"/>
      <c r="AH98" s="37"/>
      <c r="AI98" s="37"/>
      <c r="AJ98" s="47" t="s">
        <v>366</v>
      </c>
      <c r="AK98" s="37"/>
      <c r="AL98" s="37"/>
      <c r="AM98" s="37"/>
      <c r="AN98" s="37"/>
      <c r="AO98" s="37"/>
      <c r="AP98" s="37"/>
      <c r="AQ98" s="37"/>
      <c r="AR98" s="37"/>
    </row>
    <row r="99" spans="1:44" x14ac:dyDescent="0.3">
      <c r="A99" s="140"/>
      <c r="B99" s="140"/>
      <c r="C99" s="140"/>
      <c r="D99" s="140"/>
      <c r="E99" s="140"/>
      <c r="F99" s="140"/>
      <c r="G99" s="140"/>
      <c r="H99" s="39">
        <v>205.43700000000001</v>
      </c>
      <c r="I99" s="140"/>
      <c r="J99" s="140"/>
      <c r="K99" s="140"/>
      <c r="L99" s="37" t="s">
        <v>164</v>
      </c>
      <c r="M99" s="37" t="s">
        <v>165</v>
      </c>
      <c r="N99" s="37" t="s">
        <v>250</v>
      </c>
      <c r="O99" s="140"/>
      <c r="P99" s="37">
        <v>0</v>
      </c>
      <c r="Q99" s="39">
        <v>0</v>
      </c>
      <c r="R99" s="39">
        <v>0</v>
      </c>
      <c r="S99" s="37">
        <v>0</v>
      </c>
      <c r="T99" s="41">
        <v>0</v>
      </c>
      <c r="U99" s="40">
        <v>240</v>
      </c>
      <c r="V99" s="39">
        <v>28.08</v>
      </c>
      <c r="W99" s="39">
        <v>0.08</v>
      </c>
      <c r="X99" s="140"/>
      <c r="Y99" s="37">
        <v>6000</v>
      </c>
      <c r="Z99" s="37">
        <v>0</v>
      </c>
      <c r="AA99" s="37">
        <v>0</v>
      </c>
      <c r="AB99" s="37">
        <v>0</v>
      </c>
      <c r="AC99" s="37">
        <v>0</v>
      </c>
      <c r="AD99" s="37">
        <v>0</v>
      </c>
      <c r="AE99" s="37">
        <v>0</v>
      </c>
      <c r="AF99" s="37">
        <f>AF95-Y99</f>
        <v>41624</v>
      </c>
      <c r="AG99" s="37"/>
      <c r="AH99" s="37"/>
      <c r="AI99" s="37"/>
      <c r="AJ99" s="64" t="s">
        <v>190</v>
      </c>
      <c r="AK99" s="37"/>
      <c r="AL99" s="37"/>
      <c r="AM99" s="37"/>
      <c r="AN99" s="37"/>
      <c r="AO99" s="37"/>
      <c r="AP99" s="37"/>
      <c r="AQ99" s="37"/>
      <c r="AR99" s="37"/>
    </row>
    <row r="100" spans="1:44" x14ac:dyDescent="0.3">
      <c r="A100" s="138"/>
      <c r="B100" s="138"/>
      <c r="C100" s="138"/>
      <c r="D100" s="138"/>
      <c r="E100" s="138"/>
      <c r="F100" s="138"/>
      <c r="G100" s="138"/>
      <c r="H100" s="39">
        <v>2606.4180000000001</v>
      </c>
      <c r="I100" s="138"/>
      <c r="J100" s="138"/>
      <c r="K100" s="138"/>
      <c r="L100" s="37" t="s">
        <v>148</v>
      </c>
      <c r="M100" s="37" t="s">
        <v>294</v>
      </c>
      <c r="N100" s="37" t="s">
        <v>295</v>
      </c>
      <c r="O100" s="138"/>
      <c r="P100" s="37">
        <v>0</v>
      </c>
      <c r="Q100" s="39">
        <v>0</v>
      </c>
      <c r="R100" s="39">
        <v>0</v>
      </c>
      <c r="S100" s="37">
        <v>0</v>
      </c>
      <c r="T100" s="41">
        <v>0</v>
      </c>
      <c r="U100" s="37">
        <v>50</v>
      </c>
      <c r="V100" s="39">
        <v>10.85</v>
      </c>
      <c r="W100" s="39">
        <v>0.85</v>
      </c>
      <c r="X100" s="138"/>
      <c r="Y100" s="37">
        <v>500</v>
      </c>
      <c r="Z100" s="37">
        <v>0</v>
      </c>
      <c r="AA100" s="37">
        <v>0</v>
      </c>
      <c r="AB100" s="37">
        <v>0</v>
      </c>
      <c r="AC100" s="37">
        <v>0</v>
      </c>
      <c r="AD100" s="37">
        <v>0</v>
      </c>
      <c r="AE100" s="37">
        <v>0</v>
      </c>
      <c r="AF100" s="37">
        <f>AF69-Y100</f>
        <v>0</v>
      </c>
      <c r="AG100" s="37"/>
      <c r="AH100" s="37"/>
      <c r="AI100" s="37"/>
      <c r="AJ100" s="47" t="s">
        <v>367</v>
      </c>
      <c r="AK100" s="37"/>
      <c r="AL100" s="37"/>
      <c r="AM100" s="37"/>
      <c r="AN100" s="37"/>
      <c r="AO100" s="37"/>
      <c r="AP100" s="37"/>
      <c r="AQ100" s="37"/>
      <c r="AR100" s="37"/>
    </row>
    <row r="101" spans="1:44" x14ac:dyDescent="0.3">
      <c r="A101" s="137" t="s">
        <v>66</v>
      </c>
      <c r="B101" s="137" t="s">
        <v>368</v>
      </c>
      <c r="C101" s="139">
        <v>46153</v>
      </c>
      <c r="D101" s="137" t="s">
        <v>369</v>
      </c>
      <c r="E101" s="137" t="s">
        <v>370</v>
      </c>
      <c r="F101" s="137" t="s">
        <v>371</v>
      </c>
      <c r="G101" s="137" t="s">
        <v>372</v>
      </c>
      <c r="H101" s="39">
        <v>128.876</v>
      </c>
      <c r="I101" s="157">
        <v>2155496</v>
      </c>
      <c r="J101" s="158" t="s">
        <v>373</v>
      </c>
      <c r="K101" s="137" t="s">
        <v>50</v>
      </c>
      <c r="L101" s="37" t="s">
        <v>115</v>
      </c>
      <c r="M101" s="37" t="s">
        <v>116</v>
      </c>
      <c r="N101" s="37" t="s">
        <v>117</v>
      </c>
      <c r="O101" s="137" t="s">
        <v>105</v>
      </c>
      <c r="P101" s="37">
        <v>0</v>
      </c>
      <c r="Q101" s="39">
        <v>0</v>
      </c>
      <c r="R101" s="39">
        <v>0</v>
      </c>
      <c r="S101" s="37">
        <v>0</v>
      </c>
      <c r="T101" s="41">
        <v>0</v>
      </c>
      <c r="U101" s="40">
        <v>200</v>
      </c>
      <c r="V101" s="39">
        <v>25.12</v>
      </c>
      <c r="W101" s="39">
        <v>0.12</v>
      </c>
      <c r="X101" s="137">
        <v>16140</v>
      </c>
      <c r="Y101" s="37">
        <v>5000</v>
      </c>
      <c r="Z101" s="37">
        <v>0</v>
      </c>
      <c r="AA101" s="37">
        <v>0</v>
      </c>
      <c r="AB101" s="37">
        <v>0</v>
      </c>
      <c r="AC101" s="37">
        <v>0</v>
      </c>
      <c r="AD101" s="37">
        <v>0</v>
      </c>
      <c r="AE101" s="37">
        <v>0</v>
      </c>
      <c r="AF101" s="37">
        <f>AF87-Y101</f>
        <v>100800</v>
      </c>
      <c r="AG101" s="37"/>
      <c r="AH101" s="37"/>
      <c r="AI101" s="37"/>
      <c r="AJ101" s="45"/>
      <c r="AK101" s="37"/>
      <c r="AL101" s="37"/>
      <c r="AM101" s="37"/>
      <c r="AN101" s="37"/>
      <c r="AO101" s="37"/>
      <c r="AP101" s="37"/>
      <c r="AQ101" s="37"/>
      <c r="AR101" s="37"/>
    </row>
    <row r="102" spans="1:44" x14ac:dyDescent="0.3">
      <c r="A102" s="140"/>
      <c r="B102" s="140"/>
      <c r="C102" s="140"/>
      <c r="D102" s="140"/>
      <c r="E102" s="140"/>
      <c r="F102" s="140"/>
      <c r="G102" s="140"/>
      <c r="H102" s="39">
        <v>134.07599999999999</v>
      </c>
      <c r="I102" s="140"/>
      <c r="J102" s="140"/>
      <c r="K102" s="140"/>
      <c r="L102" s="37" t="s">
        <v>124</v>
      </c>
      <c r="M102" s="37" t="s">
        <v>116</v>
      </c>
      <c r="N102" s="37" t="s">
        <v>125</v>
      </c>
      <c r="O102" s="140"/>
      <c r="P102" s="37">
        <v>0</v>
      </c>
      <c r="Q102" s="39">
        <v>0</v>
      </c>
      <c r="R102" s="39">
        <v>0</v>
      </c>
      <c r="S102" s="37">
        <v>0</v>
      </c>
      <c r="T102" s="41">
        <v>0</v>
      </c>
      <c r="U102" s="40">
        <v>360</v>
      </c>
      <c r="V102" s="39">
        <v>25.12</v>
      </c>
      <c r="W102" s="39">
        <v>0.12</v>
      </c>
      <c r="X102" s="140"/>
      <c r="Y102" s="37">
        <v>9000</v>
      </c>
      <c r="Z102" s="37">
        <v>0</v>
      </c>
      <c r="AA102" s="37">
        <v>0</v>
      </c>
      <c r="AB102" s="37">
        <v>0</v>
      </c>
      <c r="AC102" s="37">
        <v>0</v>
      </c>
      <c r="AD102" s="37">
        <v>0</v>
      </c>
      <c r="AE102" s="37">
        <v>0</v>
      </c>
      <c r="AF102" s="47">
        <f>AF101-Y102</f>
        <v>91800</v>
      </c>
      <c r="AG102" s="37"/>
      <c r="AH102" s="37"/>
      <c r="AI102" s="53"/>
      <c r="AJ102" s="62"/>
      <c r="AK102" s="40"/>
      <c r="AL102" s="37"/>
      <c r="AM102" s="37"/>
      <c r="AN102" s="37"/>
      <c r="AO102" s="37"/>
      <c r="AP102" s="37"/>
      <c r="AQ102" s="37"/>
      <c r="AR102" s="37"/>
    </row>
    <row r="103" spans="1:44" x14ac:dyDescent="0.3">
      <c r="A103" s="138"/>
      <c r="B103" s="138"/>
      <c r="C103" s="138"/>
      <c r="D103" s="138"/>
      <c r="E103" s="138"/>
      <c r="F103" s="138"/>
      <c r="G103" s="138"/>
      <c r="H103" s="39">
        <v>296.74900000000002</v>
      </c>
      <c r="I103" s="138"/>
      <c r="J103" s="138"/>
      <c r="K103" s="138"/>
      <c r="L103" s="37" t="s">
        <v>124</v>
      </c>
      <c r="M103" s="37" t="s">
        <v>191</v>
      </c>
      <c r="N103" s="37" t="s">
        <v>374</v>
      </c>
      <c r="O103" s="138"/>
      <c r="P103" s="37">
        <v>0</v>
      </c>
      <c r="Q103" s="39">
        <v>0</v>
      </c>
      <c r="R103" s="39">
        <v>0</v>
      </c>
      <c r="S103" s="37">
        <v>0</v>
      </c>
      <c r="T103" s="41">
        <v>0</v>
      </c>
      <c r="U103" s="40">
        <v>80</v>
      </c>
      <c r="V103" s="39">
        <v>25.08</v>
      </c>
      <c r="W103" s="39">
        <v>0.08</v>
      </c>
      <c r="X103" s="138"/>
      <c r="Y103" s="37">
        <v>2000</v>
      </c>
      <c r="Z103" s="37">
        <v>0</v>
      </c>
      <c r="AA103" s="37">
        <v>0</v>
      </c>
      <c r="AB103" s="37">
        <v>0</v>
      </c>
      <c r="AC103" s="37">
        <v>0</v>
      </c>
      <c r="AD103" s="37">
        <v>0</v>
      </c>
      <c r="AE103" s="37">
        <v>0</v>
      </c>
      <c r="AF103" s="47">
        <f>AF73-Y103</f>
        <v>7125</v>
      </c>
      <c r="AG103" s="37"/>
      <c r="AH103" s="37"/>
      <c r="AI103" s="37"/>
      <c r="AK103" s="37"/>
      <c r="AL103" s="37"/>
      <c r="AM103" s="37"/>
      <c r="AN103" s="37"/>
      <c r="AO103" s="37"/>
      <c r="AP103" s="37"/>
      <c r="AQ103" s="37"/>
      <c r="AR103" s="37"/>
    </row>
    <row r="104" spans="1:44" x14ac:dyDescent="0.3">
      <c r="A104" s="37" t="s">
        <v>375</v>
      </c>
      <c r="B104" s="37" t="s">
        <v>66</v>
      </c>
      <c r="C104" s="43">
        <v>46155</v>
      </c>
      <c r="D104" s="37" t="s">
        <v>376</v>
      </c>
      <c r="E104" s="37" t="s">
        <v>66</v>
      </c>
      <c r="F104" s="37" t="s">
        <v>66</v>
      </c>
      <c r="G104" s="37" t="s">
        <v>32</v>
      </c>
      <c r="H104" s="38">
        <v>166.41</v>
      </c>
      <c r="I104" s="38">
        <v>2593088</v>
      </c>
      <c r="J104" s="37" t="s">
        <v>66</v>
      </c>
      <c r="K104" s="37" t="s">
        <v>8</v>
      </c>
      <c r="L104" s="37" t="s">
        <v>164</v>
      </c>
      <c r="M104" s="37" t="s">
        <v>165</v>
      </c>
      <c r="N104" s="37" t="s">
        <v>160</v>
      </c>
      <c r="O104" s="37" t="s">
        <v>161</v>
      </c>
      <c r="P104" s="37">
        <v>252</v>
      </c>
      <c r="Q104" s="39">
        <v>60.11</v>
      </c>
      <c r="R104" s="39">
        <v>0.11</v>
      </c>
      <c r="S104" s="37">
        <v>14850</v>
      </c>
      <c r="T104" s="41">
        <f>14850-28</f>
        <v>14822</v>
      </c>
      <c r="U104" s="40">
        <v>0</v>
      </c>
      <c r="V104" s="39">
        <v>0</v>
      </c>
      <c r="W104" s="39">
        <v>0</v>
      </c>
      <c r="X104" s="37">
        <v>0</v>
      </c>
      <c r="Y104" s="37">
        <v>0</v>
      </c>
      <c r="Z104" s="37">
        <v>0</v>
      </c>
      <c r="AA104" s="37">
        <v>0</v>
      </c>
      <c r="AB104" s="37">
        <v>0</v>
      </c>
      <c r="AC104" s="37">
        <v>0</v>
      </c>
      <c r="AD104" s="37">
        <v>0</v>
      </c>
      <c r="AE104" s="37">
        <v>0</v>
      </c>
      <c r="AF104" s="37">
        <f>AF99+T104</f>
        <v>56446</v>
      </c>
      <c r="AG104" s="37"/>
      <c r="AH104" s="37"/>
      <c r="AI104" s="37"/>
      <c r="AJ104" s="47" t="s">
        <v>166</v>
      </c>
      <c r="AK104" s="37"/>
      <c r="AL104" s="37"/>
      <c r="AM104" s="37"/>
      <c r="AN104" s="37"/>
      <c r="AO104" s="37"/>
      <c r="AP104" s="37"/>
      <c r="AQ104" s="37"/>
      <c r="AR104" s="37"/>
    </row>
    <row r="105" spans="1:44" x14ac:dyDescent="0.3">
      <c r="A105" s="137" t="s">
        <v>377</v>
      </c>
      <c r="B105" s="137" t="s">
        <v>66</v>
      </c>
      <c r="C105" s="139">
        <v>46158</v>
      </c>
      <c r="D105" s="137" t="s">
        <v>378</v>
      </c>
      <c r="E105" s="137" t="s">
        <v>66</v>
      </c>
      <c r="F105" s="137" t="s">
        <v>66</v>
      </c>
      <c r="G105" s="77" t="s">
        <v>379</v>
      </c>
      <c r="H105" s="78">
        <v>176.37</v>
      </c>
      <c r="I105" s="78">
        <v>1472712</v>
      </c>
      <c r="J105" s="137" t="s">
        <v>66</v>
      </c>
      <c r="K105" s="137" t="s">
        <v>8</v>
      </c>
      <c r="L105" s="77" t="s">
        <v>133</v>
      </c>
      <c r="M105" s="77" t="s">
        <v>380</v>
      </c>
      <c r="N105" s="77" t="s">
        <v>160</v>
      </c>
      <c r="O105" s="137" t="s">
        <v>161</v>
      </c>
      <c r="P105" s="77">
        <v>205</v>
      </c>
      <c r="Q105" s="79">
        <v>40.1</v>
      </c>
      <c r="R105" s="79">
        <v>0.1</v>
      </c>
      <c r="S105" s="137">
        <v>10440</v>
      </c>
      <c r="T105" s="76">
        <f>7952-20</f>
        <v>7932</v>
      </c>
      <c r="U105" s="80">
        <v>0</v>
      </c>
      <c r="V105" s="79">
        <v>0</v>
      </c>
      <c r="W105" s="79">
        <v>0</v>
      </c>
      <c r="X105" s="77">
        <v>0</v>
      </c>
      <c r="Y105" s="77">
        <v>0</v>
      </c>
      <c r="Z105" s="77">
        <v>0</v>
      </c>
      <c r="AA105" s="77">
        <v>0</v>
      </c>
      <c r="AB105" s="77">
        <v>0</v>
      </c>
      <c r="AC105" s="77">
        <v>0</v>
      </c>
      <c r="AD105" s="77">
        <v>0</v>
      </c>
      <c r="AE105" s="77">
        <v>0</v>
      </c>
      <c r="AF105" s="77">
        <f>T105</f>
        <v>7932</v>
      </c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</row>
    <row r="106" spans="1:44" x14ac:dyDescent="0.3">
      <c r="A106" s="138"/>
      <c r="B106" s="138"/>
      <c r="C106" s="138"/>
      <c r="D106" s="138"/>
      <c r="E106" s="138"/>
      <c r="F106" s="138"/>
      <c r="G106" s="37" t="s">
        <v>33</v>
      </c>
      <c r="H106" s="38">
        <v>173.24</v>
      </c>
      <c r="I106" s="38">
        <v>441658</v>
      </c>
      <c r="J106" s="138"/>
      <c r="K106" s="138"/>
      <c r="L106" s="37" t="s">
        <v>164</v>
      </c>
      <c r="M106" s="37" t="s">
        <v>165</v>
      </c>
      <c r="N106" s="37" t="s">
        <v>160</v>
      </c>
      <c r="O106" s="138"/>
      <c r="P106" s="37">
        <v>58</v>
      </c>
      <c r="Q106" s="39">
        <v>60.11</v>
      </c>
      <c r="R106" s="39">
        <v>0.11</v>
      </c>
      <c r="S106" s="138"/>
      <c r="T106" s="41">
        <f>2428-6</f>
        <v>2422</v>
      </c>
      <c r="U106" s="40">
        <v>0</v>
      </c>
      <c r="V106" s="39">
        <v>0</v>
      </c>
      <c r="W106" s="39">
        <v>0</v>
      </c>
      <c r="X106" s="37">
        <v>0</v>
      </c>
      <c r="Y106" s="37">
        <v>0</v>
      </c>
      <c r="Z106" s="37">
        <v>0</v>
      </c>
      <c r="AA106" s="37">
        <v>0</v>
      </c>
      <c r="AB106" s="37">
        <v>0</v>
      </c>
      <c r="AC106" s="37">
        <v>0</v>
      </c>
      <c r="AD106" s="37">
        <v>0</v>
      </c>
      <c r="AE106" s="37">
        <v>0</v>
      </c>
      <c r="AF106" s="37">
        <f>AF104+T106</f>
        <v>58868</v>
      </c>
      <c r="AG106" s="37"/>
      <c r="AH106" s="37"/>
      <c r="AI106" s="37"/>
      <c r="AJ106" s="47" t="s">
        <v>166</v>
      </c>
      <c r="AK106" s="37"/>
      <c r="AL106" s="37"/>
      <c r="AM106" s="37"/>
      <c r="AN106" s="37"/>
      <c r="AO106" s="37"/>
      <c r="AP106" s="37"/>
      <c r="AQ106" s="37"/>
      <c r="AR106" s="37"/>
    </row>
    <row r="107" spans="1:44" x14ac:dyDescent="0.3">
      <c r="A107" s="37" t="s">
        <v>381</v>
      </c>
      <c r="B107" s="37" t="s">
        <v>66</v>
      </c>
      <c r="C107" s="43">
        <v>46159</v>
      </c>
      <c r="D107" s="37" t="s">
        <v>169</v>
      </c>
      <c r="E107" s="37" t="s">
        <v>66</v>
      </c>
      <c r="F107" s="37" t="s">
        <v>66</v>
      </c>
      <c r="G107" s="37" t="s">
        <v>34</v>
      </c>
      <c r="H107" s="38">
        <v>172.71</v>
      </c>
      <c r="I107" s="38">
        <v>1868493</v>
      </c>
      <c r="J107" s="37" t="s">
        <v>66</v>
      </c>
      <c r="K107" s="37" t="s">
        <v>8</v>
      </c>
      <c r="L107" s="37" t="s">
        <v>164</v>
      </c>
      <c r="M107" s="37" t="s">
        <v>165</v>
      </c>
      <c r="N107" s="37" t="s">
        <v>160</v>
      </c>
      <c r="O107" s="37" t="s">
        <v>161</v>
      </c>
      <c r="P107" s="37">
        <v>177</v>
      </c>
      <c r="Q107" s="39">
        <v>60.11</v>
      </c>
      <c r="R107" s="39">
        <v>0.11</v>
      </c>
      <c r="S107" s="37">
        <v>10305</v>
      </c>
      <c r="T107" s="41">
        <f>10305-20</f>
        <v>10285</v>
      </c>
      <c r="U107" s="40">
        <v>0</v>
      </c>
      <c r="V107" s="39">
        <v>0</v>
      </c>
      <c r="W107" s="39">
        <v>0</v>
      </c>
      <c r="X107" s="37">
        <v>0</v>
      </c>
      <c r="Y107" s="37">
        <v>0</v>
      </c>
      <c r="Z107" s="37">
        <v>0</v>
      </c>
      <c r="AA107" s="37">
        <v>0</v>
      </c>
      <c r="AB107" s="37">
        <v>0</v>
      </c>
      <c r="AC107" s="37">
        <v>0</v>
      </c>
      <c r="AD107" s="37">
        <v>0</v>
      </c>
      <c r="AE107" s="37">
        <v>0</v>
      </c>
      <c r="AF107" s="37">
        <f>AF106+T107</f>
        <v>69153</v>
      </c>
      <c r="AG107" s="37"/>
      <c r="AH107" s="37"/>
      <c r="AI107" s="37"/>
      <c r="AJ107" s="47" t="s">
        <v>166</v>
      </c>
      <c r="AK107" s="37"/>
      <c r="AL107" s="37"/>
      <c r="AM107" s="37"/>
      <c r="AN107" s="37"/>
      <c r="AO107" s="37"/>
      <c r="AP107" s="37"/>
      <c r="AQ107" s="37"/>
      <c r="AR107" s="37"/>
    </row>
    <row r="108" spans="1:44" x14ac:dyDescent="0.3">
      <c r="A108" s="137" t="s">
        <v>382</v>
      </c>
      <c r="B108" s="137" t="s">
        <v>66</v>
      </c>
      <c r="C108" s="139">
        <v>46162</v>
      </c>
      <c r="D108" s="137" t="s">
        <v>383</v>
      </c>
      <c r="E108" s="137" t="s">
        <v>66</v>
      </c>
      <c r="F108" s="137" t="s">
        <v>66</v>
      </c>
      <c r="G108" s="37" t="s">
        <v>35</v>
      </c>
      <c r="H108" s="38">
        <v>166.26</v>
      </c>
      <c r="I108" s="38">
        <v>283332</v>
      </c>
      <c r="J108" s="137" t="s">
        <v>66</v>
      </c>
      <c r="K108" s="137" t="s">
        <v>8</v>
      </c>
      <c r="L108" s="37" t="s">
        <v>164</v>
      </c>
      <c r="M108" s="37" t="s">
        <v>165</v>
      </c>
      <c r="N108" s="137" t="s">
        <v>160</v>
      </c>
      <c r="O108" s="137" t="s">
        <v>161</v>
      </c>
      <c r="P108" s="37">
        <v>46</v>
      </c>
      <c r="Q108" s="39">
        <v>60.11</v>
      </c>
      <c r="R108" s="39">
        <v>0.11</v>
      </c>
      <c r="S108" s="137">
        <v>11165</v>
      </c>
      <c r="T108" s="41">
        <f>1623-5</f>
        <v>1618</v>
      </c>
      <c r="U108" s="40">
        <v>0</v>
      </c>
      <c r="V108" s="39">
        <v>0</v>
      </c>
      <c r="W108" s="39">
        <v>0</v>
      </c>
      <c r="X108" s="37">
        <v>0</v>
      </c>
      <c r="Y108" s="37">
        <v>0</v>
      </c>
      <c r="Z108" s="37">
        <v>0</v>
      </c>
      <c r="AA108" s="37">
        <v>0</v>
      </c>
      <c r="AB108" s="37">
        <v>0</v>
      </c>
      <c r="AC108" s="37">
        <v>0</v>
      </c>
      <c r="AD108" s="37">
        <v>0</v>
      </c>
      <c r="AE108" s="37">
        <v>0</v>
      </c>
      <c r="AF108" s="108">
        <f>AF107+T108</f>
        <v>70771</v>
      </c>
      <c r="AG108" s="37"/>
      <c r="AH108" s="37"/>
      <c r="AI108" s="37"/>
      <c r="AJ108" s="54" t="s">
        <v>166</v>
      </c>
      <c r="AK108" s="37"/>
      <c r="AL108" s="37"/>
      <c r="AM108" s="37"/>
      <c r="AN108" s="37"/>
      <c r="AO108" s="37"/>
      <c r="AP108" s="37"/>
      <c r="AQ108" s="37"/>
      <c r="AR108" s="37"/>
    </row>
    <row r="109" spans="1:44" x14ac:dyDescent="0.3">
      <c r="A109" s="140"/>
      <c r="B109" s="140"/>
      <c r="C109" s="140"/>
      <c r="D109" s="140"/>
      <c r="E109" s="140"/>
      <c r="F109" s="140"/>
      <c r="G109" s="37" t="s">
        <v>384</v>
      </c>
      <c r="H109" s="38">
        <v>109.49</v>
      </c>
      <c r="I109" s="38">
        <v>933972</v>
      </c>
      <c r="J109" s="140"/>
      <c r="K109" s="140"/>
      <c r="L109" s="37" t="s">
        <v>133</v>
      </c>
      <c r="M109" s="37" t="s">
        <v>134</v>
      </c>
      <c r="N109" s="140"/>
      <c r="O109" s="140"/>
      <c r="P109" s="37">
        <v>209</v>
      </c>
      <c r="Q109" s="39">
        <v>40.1</v>
      </c>
      <c r="R109" s="39">
        <v>0.1</v>
      </c>
      <c r="S109" s="140"/>
      <c r="T109" s="41">
        <f>8124-21</f>
        <v>8103</v>
      </c>
      <c r="U109" s="40">
        <v>0</v>
      </c>
      <c r="V109" s="39">
        <v>0</v>
      </c>
      <c r="W109" s="39">
        <v>0</v>
      </c>
      <c r="X109" s="37">
        <v>0</v>
      </c>
      <c r="Y109" s="37">
        <v>0</v>
      </c>
      <c r="Z109" s="37">
        <v>0</v>
      </c>
      <c r="AA109" s="37">
        <v>0</v>
      </c>
      <c r="AB109" s="37">
        <v>0</v>
      </c>
      <c r="AC109" s="37">
        <v>0</v>
      </c>
      <c r="AD109" s="37">
        <v>0</v>
      </c>
      <c r="AE109" s="37">
        <v>0</v>
      </c>
      <c r="AF109" s="37">
        <f>AF82+T109</f>
        <v>33010</v>
      </c>
      <c r="AG109" s="37"/>
      <c r="AH109" s="37"/>
      <c r="AI109" s="53"/>
      <c r="AJ109" s="62"/>
      <c r="AK109" s="40"/>
      <c r="AL109" s="37"/>
      <c r="AM109" s="37"/>
      <c r="AN109" s="37"/>
      <c r="AO109" s="37"/>
      <c r="AP109" s="37"/>
      <c r="AQ109" s="37"/>
      <c r="AR109" s="37"/>
    </row>
    <row r="110" spans="1:44" x14ac:dyDescent="0.3">
      <c r="A110" s="138"/>
      <c r="B110" s="138"/>
      <c r="C110" s="138"/>
      <c r="D110" s="138"/>
      <c r="E110" s="138"/>
      <c r="F110" s="138"/>
      <c r="G110" s="77" t="s">
        <v>385</v>
      </c>
      <c r="H110" s="78">
        <v>173.49</v>
      </c>
      <c r="I110" s="78">
        <v>247653</v>
      </c>
      <c r="J110" s="138"/>
      <c r="K110" s="138"/>
      <c r="L110" s="77" t="s">
        <v>133</v>
      </c>
      <c r="M110" s="77" t="s">
        <v>380</v>
      </c>
      <c r="N110" s="138"/>
      <c r="O110" s="138"/>
      <c r="P110" s="77">
        <v>35</v>
      </c>
      <c r="Q110" s="79">
        <v>40.1</v>
      </c>
      <c r="R110" s="79">
        <v>0.1</v>
      </c>
      <c r="S110" s="138"/>
      <c r="T110" s="76">
        <f>1359-3</f>
        <v>1356</v>
      </c>
      <c r="U110" s="80">
        <v>0</v>
      </c>
      <c r="V110" s="79">
        <v>0</v>
      </c>
      <c r="W110" s="79">
        <v>0</v>
      </c>
      <c r="X110" s="77">
        <v>0</v>
      </c>
      <c r="Y110" s="77">
        <v>0</v>
      </c>
      <c r="Z110" s="77">
        <v>0</v>
      </c>
      <c r="AA110" s="77">
        <v>0</v>
      </c>
      <c r="AB110" s="77">
        <v>0</v>
      </c>
      <c r="AC110" s="77">
        <v>0</v>
      </c>
      <c r="AD110" s="77">
        <v>0</v>
      </c>
      <c r="AE110" s="77">
        <v>0</v>
      </c>
      <c r="AF110" s="77">
        <f>AF105+T110</f>
        <v>9288</v>
      </c>
      <c r="AG110" s="37"/>
      <c r="AH110" s="37"/>
      <c r="AI110" s="53"/>
      <c r="AJ110" s="62"/>
      <c r="AK110" s="40"/>
      <c r="AL110" s="37"/>
      <c r="AM110" s="37"/>
      <c r="AN110" s="37"/>
      <c r="AO110" s="37"/>
      <c r="AP110" s="37"/>
      <c r="AQ110" s="37"/>
      <c r="AR110" s="37"/>
    </row>
    <row r="111" spans="1:44" x14ac:dyDescent="0.3">
      <c r="A111" s="137" t="s">
        <v>386</v>
      </c>
      <c r="B111" s="137" t="s">
        <v>66</v>
      </c>
      <c r="C111" s="139">
        <v>46163</v>
      </c>
      <c r="D111" s="137" t="s">
        <v>158</v>
      </c>
      <c r="E111" s="137" t="s">
        <v>66</v>
      </c>
      <c r="F111" s="137" t="s">
        <v>66</v>
      </c>
      <c r="G111" s="37" t="s">
        <v>387</v>
      </c>
      <c r="H111" s="38">
        <v>114.6</v>
      </c>
      <c r="I111" s="38">
        <v>758861</v>
      </c>
      <c r="J111" s="137" t="s">
        <v>66</v>
      </c>
      <c r="K111" s="137" t="s">
        <v>8</v>
      </c>
      <c r="L111" s="37" t="s">
        <v>133</v>
      </c>
      <c r="M111" s="37" t="s">
        <v>134</v>
      </c>
      <c r="N111" s="137" t="s">
        <v>160</v>
      </c>
      <c r="O111" s="137" t="s">
        <v>161</v>
      </c>
      <c r="P111" s="37">
        <v>166</v>
      </c>
      <c r="Q111" s="39">
        <v>40.1</v>
      </c>
      <c r="R111" s="39">
        <v>0.1</v>
      </c>
      <c r="S111" s="137">
        <v>10185</v>
      </c>
      <c r="T111" s="41">
        <f>6306-17</f>
        <v>6289</v>
      </c>
      <c r="U111" s="40">
        <v>0</v>
      </c>
      <c r="V111" s="39">
        <v>0</v>
      </c>
      <c r="W111" s="39">
        <v>0</v>
      </c>
      <c r="X111" s="37">
        <v>0</v>
      </c>
      <c r="Y111" s="37">
        <v>0</v>
      </c>
      <c r="Z111" s="37">
        <v>0</v>
      </c>
      <c r="AA111" s="37">
        <v>0</v>
      </c>
      <c r="AB111" s="37">
        <v>0</v>
      </c>
      <c r="AC111" s="37">
        <v>0</v>
      </c>
      <c r="AD111" s="37">
        <v>0</v>
      </c>
      <c r="AE111" s="37">
        <v>0</v>
      </c>
      <c r="AF111" s="37">
        <f>AF109+T111</f>
        <v>39299</v>
      </c>
      <c r="AG111" s="37"/>
      <c r="AH111" s="37"/>
      <c r="AI111" s="37"/>
      <c r="AK111" s="37"/>
      <c r="AL111" s="37"/>
      <c r="AM111" s="37"/>
      <c r="AN111" s="37"/>
      <c r="AO111" s="37"/>
      <c r="AP111" s="37"/>
      <c r="AQ111" s="37"/>
      <c r="AR111" s="37"/>
    </row>
    <row r="112" spans="1:44" x14ac:dyDescent="0.3">
      <c r="A112" s="140"/>
      <c r="B112" s="140"/>
      <c r="C112" s="140"/>
      <c r="D112" s="140"/>
      <c r="E112" s="140"/>
      <c r="F112" s="140"/>
      <c r="G112" s="37" t="s">
        <v>36</v>
      </c>
      <c r="H112" s="38">
        <v>163.55000000000001</v>
      </c>
      <c r="I112" s="38">
        <v>142534</v>
      </c>
      <c r="J112" s="140"/>
      <c r="K112" s="140"/>
      <c r="L112" s="37" t="s">
        <v>164</v>
      </c>
      <c r="M112" s="37" t="s">
        <v>165</v>
      </c>
      <c r="N112" s="140"/>
      <c r="O112" s="140"/>
      <c r="P112" s="37">
        <v>17</v>
      </c>
      <c r="Q112" s="39">
        <v>60.11</v>
      </c>
      <c r="R112" s="39">
        <v>0.11</v>
      </c>
      <c r="S112" s="140"/>
      <c r="T112" s="41">
        <f>830-2</f>
        <v>828</v>
      </c>
      <c r="U112" s="40">
        <v>0</v>
      </c>
      <c r="V112" s="39">
        <v>0</v>
      </c>
      <c r="W112" s="39">
        <v>0</v>
      </c>
      <c r="X112" s="37">
        <v>0</v>
      </c>
      <c r="Y112" s="37">
        <v>0</v>
      </c>
      <c r="Z112" s="37">
        <v>0</v>
      </c>
      <c r="AA112" s="37">
        <v>0</v>
      </c>
      <c r="AB112" s="37">
        <v>0</v>
      </c>
      <c r="AC112" s="37">
        <v>0</v>
      </c>
      <c r="AD112" s="37">
        <v>0</v>
      </c>
      <c r="AE112" s="37">
        <v>0</v>
      </c>
      <c r="AF112" s="47">
        <f>AF108+T112</f>
        <v>71599</v>
      </c>
      <c r="AG112" s="37"/>
      <c r="AH112" s="37"/>
      <c r="AI112" s="37"/>
      <c r="AJ112" s="54" t="s">
        <v>166</v>
      </c>
      <c r="AK112" s="37"/>
      <c r="AL112" s="37"/>
      <c r="AM112" s="37"/>
      <c r="AN112" s="37"/>
      <c r="AO112" s="37"/>
      <c r="AP112" s="37"/>
      <c r="AQ112" s="37"/>
      <c r="AR112" s="37"/>
    </row>
    <row r="113" spans="1:44" x14ac:dyDescent="0.3">
      <c r="A113" s="138"/>
      <c r="B113" s="138"/>
      <c r="C113" s="138"/>
      <c r="D113" s="138"/>
      <c r="E113" s="138"/>
      <c r="F113" s="138"/>
      <c r="G113" s="77" t="s">
        <v>388</v>
      </c>
      <c r="H113" s="78">
        <v>170.5</v>
      </c>
      <c r="I113" s="78">
        <v>536640</v>
      </c>
      <c r="J113" s="138"/>
      <c r="K113" s="138"/>
      <c r="L113" s="77" t="s">
        <v>133</v>
      </c>
      <c r="M113" s="77" t="s">
        <v>380</v>
      </c>
      <c r="N113" s="138"/>
      <c r="O113" s="138"/>
      <c r="P113" s="77">
        <v>77</v>
      </c>
      <c r="Q113" s="79">
        <v>40.1</v>
      </c>
      <c r="R113" s="79">
        <v>0.1</v>
      </c>
      <c r="S113" s="138"/>
      <c r="T113" s="76">
        <f>3005-8</f>
        <v>2997</v>
      </c>
      <c r="U113" s="80">
        <v>0</v>
      </c>
      <c r="V113" s="79">
        <v>0</v>
      </c>
      <c r="W113" s="79">
        <v>0</v>
      </c>
      <c r="X113" s="77">
        <v>0</v>
      </c>
      <c r="Y113" s="77">
        <v>0</v>
      </c>
      <c r="Z113" s="77">
        <v>0</v>
      </c>
      <c r="AA113" s="77">
        <v>0</v>
      </c>
      <c r="AB113" s="77">
        <v>0</v>
      </c>
      <c r="AC113" s="77">
        <v>0</v>
      </c>
      <c r="AD113" s="77">
        <v>0</v>
      </c>
      <c r="AE113" s="77">
        <v>0</v>
      </c>
      <c r="AF113" s="77">
        <f>AF110+T113</f>
        <v>12285</v>
      </c>
      <c r="AG113" s="37"/>
      <c r="AH113" s="37"/>
      <c r="AI113" s="53"/>
      <c r="AJ113" s="62"/>
      <c r="AK113" s="40"/>
      <c r="AL113" s="37"/>
      <c r="AM113" s="37"/>
      <c r="AN113" s="37"/>
      <c r="AO113" s="37"/>
      <c r="AP113" s="37"/>
      <c r="AQ113" s="37"/>
      <c r="AR113" s="37"/>
    </row>
    <row r="114" spans="1:44" x14ac:dyDescent="0.3">
      <c r="A114" s="37" t="s">
        <v>389</v>
      </c>
      <c r="B114" s="37" t="s">
        <v>66</v>
      </c>
      <c r="C114" s="43">
        <v>46163</v>
      </c>
      <c r="D114" s="37" t="s">
        <v>390</v>
      </c>
      <c r="E114" s="37" t="s">
        <v>66</v>
      </c>
      <c r="F114" s="37" t="s">
        <v>66</v>
      </c>
      <c r="G114" s="37">
        <v>40</v>
      </c>
      <c r="H114" s="38">
        <v>90</v>
      </c>
      <c r="I114" s="38">
        <v>1134000</v>
      </c>
      <c r="J114" s="37" t="s">
        <v>66</v>
      </c>
      <c r="K114" s="37" t="s">
        <v>253</v>
      </c>
      <c r="L114" s="37" t="s">
        <v>124</v>
      </c>
      <c r="M114" s="47" t="s">
        <v>142</v>
      </c>
      <c r="N114" s="37" t="s">
        <v>298</v>
      </c>
      <c r="O114" s="37" t="s">
        <v>105</v>
      </c>
      <c r="P114" s="37">
        <v>240</v>
      </c>
      <c r="Q114" s="39">
        <v>50.1</v>
      </c>
      <c r="R114" s="39">
        <v>0.1</v>
      </c>
      <c r="S114" s="37">
        <v>12115</v>
      </c>
      <c r="T114" s="41">
        <v>12000</v>
      </c>
      <c r="U114" s="40">
        <v>0</v>
      </c>
      <c r="V114" s="39">
        <v>0</v>
      </c>
      <c r="W114" s="39">
        <v>0</v>
      </c>
      <c r="X114" s="37">
        <v>0</v>
      </c>
      <c r="Y114" s="37">
        <v>0</v>
      </c>
      <c r="Z114" s="37">
        <v>0</v>
      </c>
      <c r="AA114" s="37">
        <v>0</v>
      </c>
      <c r="AB114" s="37">
        <v>0</v>
      </c>
      <c r="AC114" s="37">
        <v>0</v>
      </c>
      <c r="AD114" s="37">
        <v>0</v>
      </c>
      <c r="AE114" s="37">
        <v>0</v>
      </c>
      <c r="AF114" s="47">
        <f>AF97+T114</f>
        <v>140975</v>
      </c>
      <c r="AG114" s="37"/>
      <c r="AH114" s="37"/>
      <c r="AI114" s="37"/>
      <c r="AK114" s="37"/>
      <c r="AL114" s="37"/>
      <c r="AM114" s="37"/>
      <c r="AN114" s="37"/>
      <c r="AO114" s="37"/>
      <c r="AP114" s="37"/>
      <c r="AQ114" s="37"/>
      <c r="AR114" s="37"/>
    </row>
    <row r="115" spans="1:44" x14ac:dyDescent="0.3">
      <c r="A115" s="137" t="s">
        <v>66</v>
      </c>
      <c r="B115" s="137" t="s">
        <v>391</v>
      </c>
      <c r="C115" s="139">
        <v>46164</v>
      </c>
      <c r="D115" s="137" t="s">
        <v>392</v>
      </c>
      <c r="E115" s="137" t="s">
        <v>393</v>
      </c>
      <c r="F115" s="137" t="s">
        <v>394</v>
      </c>
      <c r="G115" s="137" t="s">
        <v>58</v>
      </c>
      <c r="H115" s="38">
        <v>112.87</v>
      </c>
      <c r="I115" s="157">
        <v>3695450</v>
      </c>
      <c r="J115" s="137" t="s">
        <v>66</v>
      </c>
      <c r="K115" s="137" t="s">
        <v>57</v>
      </c>
      <c r="L115" s="37" t="s">
        <v>258</v>
      </c>
      <c r="M115" s="37" t="s">
        <v>259</v>
      </c>
      <c r="N115" s="37" t="s">
        <v>260</v>
      </c>
      <c r="O115" s="137" t="s">
        <v>105</v>
      </c>
      <c r="P115" s="37">
        <v>0</v>
      </c>
      <c r="Q115" s="39">
        <v>0</v>
      </c>
      <c r="R115" s="39">
        <v>0</v>
      </c>
      <c r="S115" s="37">
        <v>0</v>
      </c>
      <c r="T115" s="41">
        <v>0</v>
      </c>
      <c r="U115" s="40">
        <v>800</v>
      </c>
      <c r="V115" s="39">
        <v>25.08</v>
      </c>
      <c r="W115" s="39">
        <v>0.08</v>
      </c>
      <c r="X115" s="137">
        <v>28160</v>
      </c>
      <c r="Y115" s="37">
        <v>20000</v>
      </c>
      <c r="Z115" s="37">
        <v>0</v>
      </c>
      <c r="AA115" s="37">
        <v>0</v>
      </c>
      <c r="AB115" s="37">
        <v>0</v>
      </c>
      <c r="AC115" s="37">
        <v>0</v>
      </c>
      <c r="AD115" s="37">
        <v>0</v>
      </c>
      <c r="AE115" s="37">
        <v>0</v>
      </c>
      <c r="AF115" s="37">
        <f>AF52-Y115</f>
        <v>0</v>
      </c>
      <c r="AG115" s="37"/>
      <c r="AH115" s="37"/>
      <c r="AI115" s="53"/>
      <c r="AJ115" s="47" t="s">
        <v>395</v>
      </c>
      <c r="AK115" s="40"/>
      <c r="AL115" s="37"/>
      <c r="AM115" s="37"/>
      <c r="AN115" s="37"/>
      <c r="AO115" s="37"/>
      <c r="AP115" s="37"/>
      <c r="AQ115" s="37"/>
      <c r="AR115" s="37"/>
    </row>
    <row r="116" spans="1:44" x14ac:dyDescent="0.3">
      <c r="A116" s="140"/>
      <c r="B116" s="140"/>
      <c r="C116" s="140"/>
      <c r="D116" s="140"/>
      <c r="E116" s="140"/>
      <c r="F116" s="140"/>
      <c r="G116" s="140"/>
      <c r="H116" s="38">
        <v>176.1</v>
      </c>
      <c r="I116" s="140"/>
      <c r="J116" s="140"/>
      <c r="K116" s="140"/>
      <c r="L116" s="37" t="s">
        <v>164</v>
      </c>
      <c r="M116" s="37" t="s">
        <v>165</v>
      </c>
      <c r="N116" s="37" t="s">
        <v>325</v>
      </c>
      <c r="O116" s="140"/>
      <c r="P116" s="37">
        <v>0</v>
      </c>
      <c r="Q116" s="39">
        <v>0</v>
      </c>
      <c r="R116" s="39">
        <v>0</v>
      </c>
      <c r="S116" s="37">
        <v>0</v>
      </c>
      <c r="T116" s="41">
        <v>0</v>
      </c>
      <c r="U116" s="40">
        <v>120</v>
      </c>
      <c r="V116" s="39">
        <v>25.08</v>
      </c>
      <c r="W116" s="39">
        <v>0.08</v>
      </c>
      <c r="X116" s="140"/>
      <c r="Y116" s="37">
        <v>3000</v>
      </c>
      <c r="Z116" s="37">
        <v>0</v>
      </c>
      <c r="AA116" s="37">
        <v>0</v>
      </c>
      <c r="AB116" s="37">
        <v>0</v>
      </c>
      <c r="AC116" s="37">
        <v>0</v>
      </c>
      <c r="AD116" s="37">
        <v>0</v>
      </c>
      <c r="AE116" s="37">
        <v>0</v>
      </c>
      <c r="AF116" s="37">
        <f>AF112-Y116</f>
        <v>68599</v>
      </c>
      <c r="AG116" s="37"/>
      <c r="AH116" s="37"/>
      <c r="AI116" s="53"/>
      <c r="AJ116" s="33" t="s">
        <v>190</v>
      </c>
      <c r="AK116" s="40"/>
      <c r="AL116" s="37"/>
      <c r="AM116" s="37"/>
      <c r="AN116" s="37"/>
      <c r="AO116" s="37"/>
      <c r="AP116" s="37"/>
      <c r="AQ116" s="37"/>
      <c r="AR116" s="37"/>
    </row>
    <row r="117" spans="1:44" x14ac:dyDescent="0.3">
      <c r="A117" s="138"/>
      <c r="B117" s="138"/>
      <c r="C117" s="138"/>
      <c r="D117" s="138"/>
      <c r="E117" s="138"/>
      <c r="F117" s="138"/>
      <c r="G117" s="138"/>
      <c r="H117" s="38">
        <v>181.95</v>
      </c>
      <c r="I117" s="138"/>
      <c r="J117" s="138"/>
      <c r="K117" s="138"/>
      <c r="L117" s="37" t="s">
        <v>182</v>
      </c>
      <c r="M117" s="37" t="s">
        <v>280</v>
      </c>
      <c r="N117" s="37" t="s">
        <v>281</v>
      </c>
      <c r="O117" s="138"/>
      <c r="P117" s="37">
        <v>0</v>
      </c>
      <c r="Q117" s="39">
        <v>0</v>
      </c>
      <c r="R117" s="39">
        <v>0</v>
      </c>
      <c r="S117" s="37">
        <v>0</v>
      </c>
      <c r="T117" s="41">
        <v>0</v>
      </c>
      <c r="U117" s="40">
        <v>200</v>
      </c>
      <c r="V117" s="39">
        <v>25.1</v>
      </c>
      <c r="W117" s="39">
        <v>0.1</v>
      </c>
      <c r="X117" s="138"/>
      <c r="Y117" s="37">
        <v>5000</v>
      </c>
      <c r="Z117" s="37">
        <v>0</v>
      </c>
      <c r="AA117" s="37">
        <v>0</v>
      </c>
      <c r="AB117" s="37">
        <v>0</v>
      </c>
      <c r="AC117" s="37">
        <v>0</v>
      </c>
      <c r="AD117" s="37">
        <v>0</v>
      </c>
      <c r="AE117" s="37">
        <v>0</v>
      </c>
      <c r="AF117" s="37">
        <f>AF60-Y117</f>
        <v>0</v>
      </c>
      <c r="AG117" s="37"/>
      <c r="AH117" s="37"/>
      <c r="AI117" s="53"/>
      <c r="AJ117" s="54" t="s">
        <v>396</v>
      </c>
      <c r="AK117" s="40"/>
      <c r="AL117" s="37"/>
      <c r="AM117" s="37"/>
      <c r="AN117" s="37"/>
      <c r="AO117" s="37"/>
      <c r="AP117" s="37"/>
      <c r="AQ117" s="37"/>
      <c r="AR117" s="37"/>
    </row>
    <row r="118" spans="1:44" x14ac:dyDescent="0.3">
      <c r="A118" s="37" t="s">
        <v>397</v>
      </c>
      <c r="B118" s="37" t="s">
        <v>66</v>
      </c>
      <c r="C118" s="43">
        <v>46166</v>
      </c>
      <c r="D118" s="37" t="s">
        <v>398</v>
      </c>
      <c r="E118" s="37" t="s">
        <v>66</v>
      </c>
      <c r="F118" s="37" t="s">
        <v>66</v>
      </c>
      <c r="G118" s="37">
        <v>45</v>
      </c>
      <c r="H118" s="38">
        <v>89</v>
      </c>
      <c r="I118" s="38">
        <v>1401750</v>
      </c>
      <c r="J118" s="37" t="s">
        <v>66</v>
      </c>
      <c r="K118" s="37" t="s">
        <v>399</v>
      </c>
      <c r="L118" s="37" t="s">
        <v>182</v>
      </c>
      <c r="M118" s="37" t="s">
        <v>400</v>
      </c>
      <c r="N118" s="37" t="s">
        <v>172</v>
      </c>
      <c r="O118" s="37" t="s">
        <v>105</v>
      </c>
      <c r="P118" s="37">
        <v>600</v>
      </c>
      <c r="Q118" s="39">
        <v>25.08</v>
      </c>
      <c r="R118" s="39">
        <v>0.08</v>
      </c>
      <c r="S118" s="37">
        <v>14985</v>
      </c>
      <c r="T118" s="41">
        <v>15000</v>
      </c>
      <c r="U118" s="40">
        <v>0</v>
      </c>
      <c r="V118" s="39">
        <v>0</v>
      </c>
      <c r="W118" s="39">
        <v>0</v>
      </c>
      <c r="X118" s="37">
        <v>0</v>
      </c>
      <c r="Y118" s="37">
        <v>0</v>
      </c>
      <c r="Z118" s="37">
        <v>0</v>
      </c>
      <c r="AA118" s="37">
        <v>0</v>
      </c>
      <c r="AB118" s="37">
        <v>0</v>
      </c>
      <c r="AC118" s="37">
        <v>0</v>
      </c>
      <c r="AD118" s="37">
        <v>0</v>
      </c>
      <c r="AE118" s="37">
        <v>0</v>
      </c>
      <c r="AF118" s="37">
        <f>T118</f>
        <v>15000</v>
      </c>
      <c r="AG118" s="37"/>
      <c r="AH118" s="37"/>
      <c r="AI118" s="53"/>
      <c r="AJ118" s="62"/>
      <c r="AK118" s="40"/>
      <c r="AL118" s="37"/>
      <c r="AM118" s="37"/>
      <c r="AN118" s="37"/>
      <c r="AO118" s="37"/>
      <c r="AP118" s="37"/>
      <c r="AQ118" s="37"/>
      <c r="AR118" s="37"/>
    </row>
    <row r="119" spans="1:44" x14ac:dyDescent="0.3">
      <c r="A119" s="37" t="s">
        <v>401</v>
      </c>
      <c r="B119" s="37" t="s">
        <v>66</v>
      </c>
      <c r="C119" s="43">
        <v>46168</v>
      </c>
      <c r="D119" s="37" t="s">
        <v>402</v>
      </c>
      <c r="E119" s="37" t="s">
        <v>66</v>
      </c>
      <c r="F119" s="37" t="s">
        <v>66</v>
      </c>
      <c r="G119" s="37" t="s">
        <v>403</v>
      </c>
      <c r="H119" s="38">
        <v>117.28</v>
      </c>
      <c r="I119" s="38">
        <v>1580122</v>
      </c>
      <c r="J119" s="37" t="s">
        <v>66</v>
      </c>
      <c r="K119" s="37" t="s">
        <v>8</v>
      </c>
      <c r="L119" s="37" t="s">
        <v>133</v>
      </c>
      <c r="M119" s="37" t="s">
        <v>134</v>
      </c>
      <c r="N119" s="37" t="s">
        <v>160</v>
      </c>
      <c r="O119" s="37" t="s">
        <v>161</v>
      </c>
      <c r="P119" s="37">
        <v>328</v>
      </c>
      <c r="Q119" s="39">
        <v>40.1</v>
      </c>
      <c r="R119" s="39">
        <v>0.1</v>
      </c>
      <c r="S119" s="37">
        <v>12925</v>
      </c>
      <c r="T119" s="41">
        <v>12892</v>
      </c>
      <c r="U119" s="40">
        <v>0</v>
      </c>
      <c r="V119" s="39">
        <v>0</v>
      </c>
      <c r="W119" s="39">
        <v>0</v>
      </c>
      <c r="X119" s="37">
        <v>0</v>
      </c>
      <c r="Y119" s="37">
        <v>0</v>
      </c>
      <c r="Z119" s="37">
        <v>0</v>
      </c>
      <c r="AA119" s="37">
        <v>0</v>
      </c>
      <c r="AB119" s="37">
        <v>0</v>
      </c>
      <c r="AC119" s="37">
        <v>0</v>
      </c>
      <c r="AD119" s="37">
        <v>0</v>
      </c>
      <c r="AE119" s="37">
        <v>0</v>
      </c>
      <c r="AF119" s="37">
        <f>AF111+T119</f>
        <v>52191</v>
      </c>
      <c r="AG119" s="37"/>
      <c r="AH119" s="37"/>
      <c r="AI119" s="37"/>
      <c r="AK119" s="37"/>
      <c r="AL119" s="37"/>
      <c r="AM119" s="37"/>
      <c r="AN119" s="37"/>
      <c r="AO119" s="37"/>
      <c r="AP119" s="37"/>
      <c r="AQ119" s="37"/>
      <c r="AR119" s="37"/>
    </row>
    <row r="120" spans="1:44" x14ac:dyDescent="0.3">
      <c r="A120" s="37" t="s">
        <v>404</v>
      </c>
      <c r="B120" s="37" t="s">
        <v>66</v>
      </c>
      <c r="C120" s="43">
        <v>46172</v>
      </c>
      <c r="D120" s="37" t="s">
        <v>405</v>
      </c>
      <c r="E120" s="37" t="s">
        <v>66</v>
      </c>
      <c r="F120" s="37" t="s">
        <v>66</v>
      </c>
      <c r="G120" s="77" t="s">
        <v>37</v>
      </c>
      <c r="H120" s="38">
        <v>167.37</v>
      </c>
      <c r="I120" s="38">
        <v>2107456</v>
      </c>
      <c r="J120" s="37" t="s">
        <v>66</v>
      </c>
      <c r="K120" s="37" t="s">
        <v>8</v>
      </c>
      <c r="L120" s="37" t="s">
        <v>164</v>
      </c>
      <c r="M120" s="37" t="s">
        <v>165</v>
      </c>
      <c r="N120" s="37" t="s">
        <v>160</v>
      </c>
      <c r="O120" s="37" t="s">
        <v>161</v>
      </c>
      <c r="P120" s="37">
        <v>202</v>
      </c>
      <c r="Q120" s="39">
        <v>60.11</v>
      </c>
      <c r="R120" s="39">
        <v>0.11</v>
      </c>
      <c r="S120" s="37">
        <v>12010</v>
      </c>
      <c r="T120" s="41">
        <v>11990</v>
      </c>
      <c r="U120" s="40">
        <v>0</v>
      </c>
      <c r="V120" s="39">
        <v>0</v>
      </c>
      <c r="W120" s="39">
        <v>0</v>
      </c>
      <c r="X120" s="37">
        <v>0</v>
      </c>
      <c r="Y120" s="37">
        <v>0</v>
      </c>
      <c r="Z120" s="37">
        <v>0</v>
      </c>
      <c r="AA120" s="37">
        <v>0</v>
      </c>
      <c r="AB120" s="37">
        <v>0</v>
      </c>
      <c r="AC120" s="37">
        <v>0</v>
      </c>
      <c r="AD120" s="37">
        <v>0</v>
      </c>
      <c r="AE120" s="37">
        <v>0</v>
      </c>
      <c r="AF120" s="37">
        <f>AF116+T120</f>
        <v>80589</v>
      </c>
      <c r="AG120" s="37"/>
      <c r="AH120" s="37"/>
      <c r="AI120" s="37"/>
      <c r="AJ120" s="107" t="s">
        <v>166</v>
      </c>
      <c r="AK120" s="37"/>
      <c r="AL120" s="37"/>
      <c r="AM120" s="37"/>
      <c r="AN120" s="37"/>
      <c r="AO120" s="37"/>
      <c r="AP120" s="37"/>
      <c r="AQ120" s="37"/>
      <c r="AR120" s="37"/>
    </row>
    <row r="121" spans="1:44" x14ac:dyDescent="0.3">
      <c r="A121" s="137" t="s">
        <v>406</v>
      </c>
      <c r="B121" s="137" t="s">
        <v>66</v>
      </c>
      <c r="C121" s="139">
        <v>46174</v>
      </c>
      <c r="D121" s="137" t="s">
        <v>216</v>
      </c>
      <c r="E121" s="137" t="s">
        <v>66</v>
      </c>
      <c r="F121" s="137" t="s">
        <v>66</v>
      </c>
      <c r="G121" s="37" t="s">
        <v>407</v>
      </c>
      <c r="H121" s="38">
        <v>112.83</v>
      </c>
      <c r="I121" s="38">
        <v>890669</v>
      </c>
      <c r="J121" s="137" t="s">
        <v>66</v>
      </c>
      <c r="K121" s="137" t="s">
        <v>8</v>
      </c>
      <c r="L121" s="137" t="s">
        <v>133</v>
      </c>
      <c r="M121" s="137" t="s">
        <v>134</v>
      </c>
      <c r="N121" s="137" t="s">
        <v>160</v>
      </c>
      <c r="O121" s="137" t="s">
        <v>161</v>
      </c>
      <c r="P121" s="37">
        <v>190</v>
      </c>
      <c r="Q121" s="39">
        <v>40.1</v>
      </c>
      <c r="R121" s="39">
        <v>0.1</v>
      </c>
      <c r="S121" s="137">
        <v>10950</v>
      </c>
      <c r="T121" s="41">
        <f>7518-19</f>
        <v>7499</v>
      </c>
      <c r="U121" s="40">
        <v>0</v>
      </c>
      <c r="V121" s="39">
        <v>0</v>
      </c>
      <c r="W121" s="39">
        <v>0</v>
      </c>
      <c r="X121" s="37">
        <v>0</v>
      </c>
      <c r="Y121" s="37">
        <v>0</v>
      </c>
      <c r="Z121" s="37">
        <v>0</v>
      </c>
      <c r="AA121" s="37">
        <v>0</v>
      </c>
      <c r="AB121" s="37">
        <v>0</v>
      </c>
      <c r="AC121" s="37">
        <v>0</v>
      </c>
      <c r="AD121" s="37">
        <v>0</v>
      </c>
      <c r="AE121" s="37">
        <v>0</v>
      </c>
      <c r="AF121" s="37">
        <f>AF119+T121</f>
        <v>59690</v>
      </c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</row>
    <row r="122" spans="1:44" x14ac:dyDescent="0.3">
      <c r="A122" s="138"/>
      <c r="B122" s="138"/>
      <c r="C122" s="138"/>
      <c r="D122" s="138"/>
      <c r="E122" s="138"/>
      <c r="F122" s="138"/>
      <c r="G122" s="37" t="s">
        <v>408</v>
      </c>
      <c r="H122" s="38">
        <v>113.11</v>
      </c>
      <c r="I122" s="38">
        <v>406534</v>
      </c>
      <c r="J122" s="138"/>
      <c r="K122" s="138"/>
      <c r="L122" s="138"/>
      <c r="M122" s="138"/>
      <c r="N122" s="138"/>
      <c r="O122" s="138"/>
      <c r="P122" s="37">
        <v>86</v>
      </c>
      <c r="Q122" s="39">
        <v>40.1</v>
      </c>
      <c r="R122" s="39">
        <v>0.1</v>
      </c>
      <c r="S122" s="138"/>
      <c r="T122" s="41">
        <f>3423-8</f>
        <v>3415</v>
      </c>
      <c r="U122" s="40">
        <v>0</v>
      </c>
      <c r="V122" s="39">
        <v>0</v>
      </c>
      <c r="W122" s="39">
        <v>0</v>
      </c>
      <c r="X122" s="37">
        <v>0</v>
      </c>
      <c r="Y122" s="37">
        <v>0</v>
      </c>
      <c r="Z122" s="37">
        <v>0</v>
      </c>
      <c r="AA122" s="37">
        <v>0</v>
      </c>
      <c r="AB122" s="37">
        <v>0</v>
      </c>
      <c r="AC122" s="37">
        <v>0</v>
      </c>
      <c r="AD122" s="37">
        <v>0</v>
      </c>
      <c r="AE122" s="37">
        <v>0</v>
      </c>
      <c r="AF122" s="37">
        <f>AF121+T122</f>
        <v>63105</v>
      </c>
      <c r="AG122" s="37"/>
      <c r="AH122" s="37"/>
      <c r="AI122" s="37"/>
      <c r="AK122" s="37"/>
      <c r="AL122" s="37"/>
      <c r="AM122" s="37"/>
      <c r="AN122" s="37"/>
      <c r="AO122" s="37"/>
      <c r="AP122" s="37"/>
      <c r="AQ122" s="37"/>
      <c r="AR122" s="37"/>
    </row>
    <row r="123" spans="1:44" x14ac:dyDescent="0.3">
      <c r="A123" s="153" t="s">
        <v>409</v>
      </c>
      <c r="B123" s="153" t="s">
        <v>66</v>
      </c>
      <c r="C123" s="168">
        <v>46175</v>
      </c>
      <c r="D123" s="153" t="s">
        <v>410</v>
      </c>
      <c r="E123" s="153" t="s">
        <v>66</v>
      </c>
      <c r="F123" s="153" t="s">
        <v>66</v>
      </c>
      <c r="G123" s="37" t="s">
        <v>38</v>
      </c>
      <c r="H123" s="38">
        <v>166.84</v>
      </c>
      <c r="I123" s="38">
        <v>854888</v>
      </c>
      <c r="J123" s="137" t="s">
        <v>66</v>
      </c>
      <c r="K123" s="137" t="s">
        <v>8</v>
      </c>
      <c r="L123" s="37" t="s">
        <v>164</v>
      </c>
      <c r="M123" s="37" t="s">
        <v>165</v>
      </c>
      <c r="N123" s="137" t="s">
        <v>160</v>
      </c>
      <c r="O123" s="137" t="s">
        <v>161</v>
      </c>
      <c r="P123" s="37">
        <v>92</v>
      </c>
      <c r="Q123" s="39">
        <v>60.11</v>
      </c>
      <c r="R123" s="39">
        <v>0.11</v>
      </c>
      <c r="S123" s="153">
        <v>20360</v>
      </c>
      <c r="T123" s="41">
        <f>4880-10</f>
        <v>4870</v>
      </c>
      <c r="U123" s="40">
        <v>0</v>
      </c>
      <c r="V123" s="39">
        <v>0</v>
      </c>
      <c r="W123" s="39">
        <v>0</v>
      </c>
      <c r="X123" s="37">
        <v>0</v>
      </c>
      <c r="Y123" s="37">
        <v>0</v>
      </c>
      <c r="Z123" s="37">
        <v>0</v>
      </c>
      <c r="AA123" s="37">
        <v>0</v>
      </c>
      <c r="AB123" s="37">
        <v>0</v>
      </c>
      <c r="AC123" s="37">
        <v>0</v>
      </c>
      <c r="AD123" s="37">
        <v>0</v>
      </c>
      <c r="AE123" s="37">
        <v>0</v>
      </c>
      <c r="AF123" s="108">
        <f>AF120+T123</f>
        <v>85459</v>
      </c>
      <c r="AG123" s="37"/>
      <c r="AH123" s="37"/>
      <c r="AI123" s="37"/>
      <c r="AJ123" s="54" t="s">
        <v>166</v>
      </c>
      <c r="AK123" s="37"/>
      <c r="AL123" s="37"/>
      <c r="AM123" s="37"/>
      <c r="AN123" s="37"/>
      <c r="AO123" s="37"/>
      <c r="AP123" s="37"/>
      <c r="AQ123" s="37"/>
      <c r="AR123" s="37"/>
    </row>
    <row r="124" spans="1:44" x14ac:dyDescent="0.3">
      <c r="A124" s="140"/>
      <c r="B124" s="140"/>
      <c r="C124" s="140"/>
      <c r="D124" s="140"/>
      <c r="E124" s="140"/>
      <c r="F124" s="140"/>
      <c r="G124" s="37" t="s">
        <v>411</v>
      </c>
      <c r="H124" s="38">
        <v>166.97</v>
      </c>
      <c r="I124" s="38">
        <v>971790</v>
      </c>
      <c r="J124" s="140"/>
      <c r="K124" s="140"/>
      <c r="L124" s="37" t="s">
        <v>133</v>
      </c>
      <c r="M124" s="37" t="s">
        <v>380</v>
      </c>
      <c r="N124" s="140"/>
      <c r="O124" s="140"/>
      <c r="P124" s="37">
        <v>141</v>
      </c>
      <c r="Q124" s="39">
        <v>40.1</v>
      </c>
      <c r="R124" s="39">
        <v>0.1</v>
      </c>
      <c r="S124" s="140"/>
      <c r="T124" s="41">
        <f>5543-14</f>
        <v>5529</v>
      </c>
      <c r="U124" s="40">
        <v>0</v>
      </c>
      <c r="V124" s="39">
        <v>0</v>
      </c>
      <c r="W124" s="39">
        <v>0</v>
      </c>
      <c r="X124" s="37">
        <v>0</v>
      </c>
      <c r="Y124" s="37">
        <v>0</v>
      </c>
      <c r="Z124" s="37">
        <v>0</v>
      </c>
      <c r="AA124" s="37">
        <v>0</v>
      </c>
      <c r="AB124" s="37">
        <v>0</v>
      </c>
      <c r="AC124" s="37">
        <v>0</v>
      </c>
      <c r="AD124" s="37">
        <v>0</v>
      </c>
      <c r="AE124" s="37">
        <v>0</v>
      </c>
      <c r="AF124" s="47">
        <f>AF113+T124</f>
        <v>17814</v>
      </c>
      <c r="AG124" s="37"/>
      <c r="AH124" s="37"/>
      <c r="AI124" s="53"/>
      <c r="AJ124" s="62"/>
      <c r="AK124" s="40"/>
      <c r="AL124" s="37"/>
      <c r="AM124" s="37"/>
      <c r="AN124" s="37"/>
      <c r="AO124" s="37"/>
      <c r="AP124" s="37"/>
      <c r="AQ124" s="37"/>
      <c r="AR124" s="37"/>
    </row>
    <row r="125" spans="1:44" x14ac:dyDescent="0.3">
      <c r="A125" s="140"/>
      <c r="B125" s="140"/>
      <c r="C125" s="140"/>
      <c r="D125" s="140"/>
      <c r="E125" s="140"/>
      <c r="F125" s="140"/>
      <c r="G125" s="37" t="s">
        <v>412</v>
      </c>
      <c r="H125" s="38">
        <v>113.57</v>
      </c>
      <c r="I125" s="38">
        <v>1165416</v>
      </c>
      <c r="J125" s="138"/>
      <c r="K125" s="138"/>
      <c r="L125" s="37" t="s">
        <v>133</v>
      </c>
      <c r="M125" s="37" t="s">
        <v>134</v>
      </c>
      <c r="N125" s="138"/>
      <c r="O125" s="138"/>
      <c r="P125" s="37">
        <v>250</v>
      </c>
      <c r="Q125" s="39">
        <v>40.1</v>
      </c>
      <c r="R125" s="39">
        <v>0.1</v>
      </c>
      <c r="S125" s="140"/>
      <c r="T125" s="41">
        <f>9773-25</f>
        <v>9748</v>
      </c>
      <c r="U125" s="40">
        <v>0</v>
      </c>
      <c r="V125" s="39">
        <v>0</v>
      </c>
      <c r="W125" s="39">
        <v>0</v>
      </c>
      <c r="X125" s="37">
        <v>0</v>
      </c>
      <c r="Y125" s="37">
        <v>0</v>
      </c>
      <c r="Z125" s="37">
        <v>0</v>
      </c>
      <c r="AA125" s="37">
        <v>0</v>
      </c>
      <c r="AB125" s="37">
        <v>0</v>
      </c>
      <c r="AC125" s="37">
        <v>0</v>
      </c>
      <c r="AD125" s="37">
        <v>0</v>
      </c>
      <c r="AE125" s="37">
        <v>0</v>
      </c>
      <c r="AF125" s="37">
        <f>AF122+T125</f>
        <v>72853</v>
      </c>
      <c r="AG125" s="37"/>
      <c r="AH125" s="37"/>
      <c r="AI125" s="37"/>
      <c r="AK125" s="37"/>
      <c r="AL125" s="37"/>
      <c r="AM125" s="37"/>
      <c r="AN125" s="37"/>
      <c r="AO125" s="37"/>
      <c r="AP125" s="37"/>
      <c r="AQ125" s="37"/>
      <c r="AR125" s="37"/>
    </row>
    <row r="126" spans="1:44" x14ac:dyDescent="0.3">
      <c r="A126" s="16" t="s">
        <v>66</v>
      </c>
      <c r="B126" s="16" t="s">
        <v>413</v>
      </c>
      <c r="C126" s="25">
        <v>46175</v>
      </c>
      <c r="D126" s="16" t="s">
        <v>414</v>
      </c>
      <c r="E126" s="16" t="s">
        <v>66</v>
      </c>
      <c r="F126" s="16" t="s">
        <v>66</v>
      </c>
      <c r="G126" s="40" t="s">
        <v>60</v>
      </c>
      <c r="H126" s="38">
        <v>187</v>
      </c>
      <c r="I126" s="38">
        <v>1963500</v>
      </c>
      <c r="J126" s="48" t="s">
        <v>66</v>
      </c>
      <c r="K126" s="48" t="s">
        <v>415</v>
      </c>
      <c r="L126" s="45" t="s">
        <v>416</v>
      </c>
      <c r="M126" s="37" t="s">
        <v>165</v>
      </c>
      <c r="N126" s="37" t="s">
        <v>325</v>
      </c>
      <c r="O126" s="48" t="s">
        <v>105</v>
      </c>
      <c r="P126" s="37">
        <v>0</v>
      </c>
      <c r="Q126" s="39">
        <v>0</v>
      </c>
      <c r="R126" s="94">
        <v>0</v>
      </c>
      <c r="S126" s="16">
        <v>0</v>
      </c>
      <c r="T126" s="95">
        <v>0</v>
      </c>
      <c r="U126" s="40">
        <v>400</v>
      </c>
      <c r="V126" s="39">
        <v>25.08</v>
      </c>
      <c r="W126" s="39">
        <v>0.08</v>
      </c>
      <c r="X126" s="37">
        <v>10060</v>
      </c>
      <c r="Y126" s="37">
        <v>10000</v>
      </c>
      <c r="Z126" s="37">
        <v>0</v>
      </c>
      <c r="AA126" s="37">
        <v>0</v>
      </c>
      <c r="AB126" s="37">
        <v>0</v>
      </c>
      <c r="AC126" s="37">
        <v>0</v>
      </c>
      <c r="AD126" s="37">
        <v>0</v>
      </c>
      <c r="AE126" s="37">
        <v>0</v>
      </c>
      <c r="AF126" s="37">
        <f>AF123-Y126</f>
        <v>75459</v>
      </c>
      <c r="AG126" s="37"/>
      <c r="AH126" s="37"/>
      <c r="AI126" s="37"/>
      <c r="AJ126" s="47" t="s">
        <v>190</v>
      </c>
      <c r="AK126" s="37"/>
      <c r="AL126" s="37"/>
      <c r="AM126" s="37"/>
      <c r="AN126" s="37"/>
      <c r="AO126" s="37"/>
      <c r="AP126" s="37"/>
      <c r="AQ126" s="37"/>
      <c r="AR126" s="37"/>
    </row>
    <row r="127" spans="1:44" x14ac:dyDescent="0.3">
      <c r="A127" s="48" t="s">
        <v>66</v>
      </c>
      <c r="B127" s="48" t="s">
        <v>417</v>
      </c>
      <c r="C127" s="49">
        <v>46175</v>
      </c>
      <c r="D127" s="48" t="s">
        <v>418</v>
      </c>
      <c r="E127" s="48" t="s">
        <v>419</v>
      </c>
      <c r="F127" s="48" t="s">
        <v>420</v>
      </c>
      <c r="G127" s="45" t="s">
        <v>421</v>
      </c>
      <c r="H127" s="96">
        <v>116.0188</v>
      </c>
      <c r="I127" s="97">
        <v>2050253</v>
      </c>
      <c r="J127" s="26" t="s">
        <v>422</v>
      </c>
      <c r="K127" s="26" t="s">
        <v>50</v>
      </c>
      <c r="L127" s="92" t="s">
        <v>423</v>
      </c>
      <c r="M127" s="45" t="s">
        <v>142</v>
      </c>
      <c r="N127" s="93" t="s">
        <v>365</v>
      </c>
      <c r="O127" s="26" t="s">
        <v>105</v>
      </c>
      <c r="P127" s="92">
        <v>0</v>
      </c>
      <c r="Q127" s="98">
        <v>0</v>
      </c>
      <c r="R127" s="98">
        <v>0</v>
      </c>
      <c r="S127" s="48">
        <v>0</v>
      </c>
      <c r="T127" s="99">
        <v>0</v>
      </c>
      <c r="U127" s="92">
        <v>2000</v>
      </c>
      <c r="V127" s="98">
        <v>10.6</v>
      </c>
      <c r="W127" s="98">
        <v>0.06</v>
      </c>
      <c r="X127" s="45">
        <v>20205</v>
      </c>
      <c r="Y127" s="45">
        <v>20000</v>
      </c>
      <c r="Z127" s="45">
        <v>0</v>
      </c>
      <c r="AA127" s="45">
        <v>0</v>
      </c>
      <c r="AB127" s="45">
        <v>0</v>
      </c>
      <c r="AC127" s="45">
        <v>0</v>
      </c>
      <c r="AD127" s="45">
        <v>0</v>
      </c>
      <c r="AE127" s="45">
        <v>0</v>
      </c>
      <c r="AF127" s="37">
        <f>AF114-Y127</f>
        <v>120975</v>
      </c>
      <c r="AG127" s="37"/>
      <c r="AH127" s="37"/>
      <c r="AI127" s="37"/>
      <c r="AK127" s="37"/>
      <c r="AL127" s="37"/>
      <c r="AM127" s="37"/>
      <c r="AN127" s="37"/>
      <c r="AO127" s="37"/>
      <c r="AP127" s="37"/>
      <c r="AQ127" s="37"/>
      <c r="AR127" s="37"/>
    </row>
    <row r="128" spans="1:44" x14ac:dyDescent="0.3">
      <c r="A128" s="26" t="s">
        <v>66</v>
      </c>
      <c r="B128" s="26" t="s">
        <v>424</v>
      </c>
      <c r="C128" s="49">
        <v>46176</v>
      </c>
      <c r="D128" s="26" t="s">
        <v>425</v>
      </c>
      <c r="E128" s="26" t="s">
        <v>66</v>
      </c>
      <c r="F128" s="26" t="s">
        <v>66</v>
      </c>
      <c r="G128" s="26" t="s">
        <v>426</v>
      </c>
      <c r="H128" s="103">
        <v>174</v>
      </c>
      <c r="I128" s="59">
        <v>1370250</v>
      </c>
      <c r="J128" s="26" t="s">
        <v>66</v>
      </c>
      <c r="K128" s="26" t="s">
        <v>427</v>
      </c>
      <c r="L128" s="26" t="s">
        <v>428</v>
      </c>
      <c r="M128" s="26" t="s">
        <v>165</v>
      </c>
      <c r="N128" s="45" t="s">
        <v>429</v>
      </c>
      <c r="O128" s="26" t="s">
        <v>105</v>
      </c>
      <c r="P128" s="26">
        <v>0</v>
      </c>
      <c r="Q128" s="104">
        <v>0</v>
      </c>
      <c r="R128" s="104">
        <v>0</v>
      </c>
      <c r="S128" s="26">
        <v>0</v>
      </c>
      <c r="T128" s="36">
        <v>0</v>
      </c>
      <c r="U128" s="106">
        <v>750</v>
      </c>
      <c r="V128" s="104">
        <v>10.050000000000001</v>
      </c>
      <c r="W128" s="104">
        <v>0.05</v>
      </c>
      <c r="X128" s="26">
        <v>7545</v>
      </c>
      <c r="Y128" s="26">
        <v>7500</v>
      </c>
      <c r="Z128" s="26">
        <v>0</v>
      </c>
      <c r="AA128" s="26">
        <v>0</v>
      </c>
      <c r="AB128" s="26">
        <v>0</v>
      </c>
      <c r="AC128" s="26">
        <v>0</v>
      </c>
      <c r="AD128" s="26">
        <v>0</v>
      </c>
      <c r="AE128" s="26">
        <v>0</v>
      </c>
      <c r="AF128" s="92">
        <f>AF126-Y128</f>
        <v>67959</v>
      </c>
      <c r="AG128" s="37"/>
      <c r="AH128" s="37"/>
      <c r="AI128" s="37"/>
      <c r="AJ128" s="47" t="s">
        <v>190</v>
      </c>
      <c r="AK128" s="37"/>
      <c r="AL128" s="37"/>
      <c r="AM128" s="37"/>
      <c r="AN128" s="37"/>
      <c r="AO128" s="37"/>
      <c r="AP128" s="37"/>
      <c r="AQ128" s="37"/>
      <c r="AR128" s="37"/>
    </row>
    <row r="129" spans="1:44" x14ac:dyDescent="0.3">
      <c r="A129" s="149" t="s">
        <v>66</v>
      </c>
      <c r="B129" s="149" t="s">
        <v>430</v>
      </c>
      <c r="C129" s="155">
        <v>46176</v>
      </c>
      <c r="D129" s="149" t="s">
        <v>127</v>
      </c>
      <c r="E129" s="149" t="s">
        <v>431</v>
      </c>
      <c r="F129" s="149" t="s">
        <v>432</v>
      </c>
      <c r="G129" s="149" t="s">
        <v>433</v>
      </c>
      <c r="H129" s="102" t="s">
        <v>434</v>
      </c>
      <c r="I129" s="152">
        <v>3000108</v>
      </c>
      <c r="J129" s="154" t="s">
        <v>435</v>
      </c>
      <c r="K129" s="149" t="s">
        <v>436</v>
      </c>
      <c r="L129" s="149" t="s">
        <v>124</v>
      </c>
      <c r="M129" s="16" t="s">
        <v>116</v>
      </c>
      <c r="N129" s="16" t="s">
        <v>437</v>
      </c>
      <c r="O129" s="149" t="s">
        <v>105</v>
      </c>
      <c r="P129" s="16">
        <v>0</v>
      </c>
      <c r="Q129" s="23">
        <v>0</v>
      </c>
      <c r="R129" s="23">
        <v>0</v>
      </c>
      <c r="S129" s="16">
        <v>0</v>
      </c>
      <c r="T129" s="31">
        <v>0</v>
      </c>
      <c r="U129" s="29">
        <v>400</v>
      </c>
      <c r="V129" s="105">
        <v>25.12</v>
      </c>
      <c r="W129" s="23">
        <v>25.12</v>
      </c>
      <c r="X129" s="149">
        <v>24140</v>
      </c>
      <c r="Y129" s="16">
        <v>10000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f>AF102-Y129</f>
        <v>81800</v>
      </c>
      <c r="AG129" s="40"/>
      <c r="AH129" s="37"/>
      <c r="AI129" s="37"/>
      <c r="AJ129" s="45"/>
      <c r="AK129" s="37"/>
      <c r="AL129" s="37"/>
      <c r="AM129" s="37"/>
      <c r="AN129" s="37"/>
      <c r="AO129" s="37"/>
      <c r="AP129" s="37"/>
      <c r="AQ129" s="37"/>
      <c r="AR129" s="37"/>
    </row>
    <row r="130" spans="1:44" x14ac:dyDescent="0.3">
      <c r="A130" s="150"/>
      <c r="B130" s="150"/>
      <c r="C130" s="150"/>
      <c r="D130" s="150"/>
      <c r="E130" s="150"/>
      <c r="F130" s="150"/>
      <c r="G130" s="150"/>
      <c r="H130" s="102">
        <v>132.96</v>
      </c>
      <c r="I130" s="150"/>
      <c r="J130" s="150"/>
      <c r="K130" s="150"/>
      <c r="L130" s="150"/>
      <c r="M130" s="16" t="s">
        <v>116</v>
      </c>
      <c r="N130" s="16" t="s">
        <v>438</v>
      </c>
      <c r="O130" s="150"/>
      <c r="P130" s="16">
        <v>0</v>
      </c>
      <c r="Q130" s="23">
        <v>0</v>
      </c>
      <c r="R130" s="23">
        <v>0</v>
      </c>
      <c r="S130" s="16">
        <v>0</v>
      </c>
      <c r="T130" s="31">
        <v>0</v>
      </c>
      <c r="U130" s="29">
        <v>440</v>
      </c>
      <c r="V130" s="105">
        <v>25.12</v>
      </c>
      <c r="W130" s="23">
        <v>25.12</v>
      </c>
      <c r="X130" s="150"/>
      <c r="Y130" s="16">
        <v>11000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09">
        <f>AF129-Y130</f>
        <v>70800</v>
      </c>
      <c r="AG130" s="40"/>
      <c r="AH130" s="37"/>
      <c r="AI130" s="53"/>
      <c r="AJ130" s="62"/>
      <c r="AK130" s="40"/>
      <c r="AL130" s="37"/>
      <c r="AM130" s="37"/>
      <c r="AN130" s="37"/>
      <c r="AO130" s="37"/>
      <c r="AP130" s="37"/>
      <c r="AQ130" s="37"/>
      <c r="AR130" s="37"/>
    </row>
    <row r="131" spans="1:44" x14ac:dyDescent="0.3">
      <c r="A131" s="151"/>
      <c r="B131" s="151"/>
      <c r="C131" s="151"/>
      <c r="D131" s="151"/>
      <c r="E131" s="151"/>
      <c r="F131" s="151"/>
      <c r="G131" s="151"/>
      <c r="H131" s="102">
        <v>262.95999999999998</v>
      </c>
      <c r="I131" s="151"/>
      <c r="J131" s="151"/>
      <c r="K131" s="151"/>
      <c r="L131" s="151"/>
      <c r="M131" s="16" t="s">
        <v>191</v>
      </c>
      <c r="N131" s="16" t="s">
        <v>192</v>
      </c>
      <c r="O131" s="151"/>
      <c r="P131" s="16">
        <v>0</v>
      </c>
      <c r="Q131" s="23">
        <v>0</v>
      </c>
      <c r="R131" s="23">
        <v>0</v>
      </c>
      <c r="S131" s="16">
        <v>0</v>
      </c>
      <c r="T131" s="31">
        <v>0</v>
      </c>
      <c r="U131" s="29">
        <v>120</v>
      </c>
      <c r="V131" s="105">
        <v>25.08</v>
      </c>
      <c r="W131" s="23">
        <v>0.08</v>
      </c>
      <c r="X131" s="151"/>
      <c r="Y131" s="16">
        <v>3000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f>AF103-Y131</f>
        <v>4125</v>
      </c>
      <c r="AG131" s="40"/>
      <c r="AH131" s="37"/>
      <c r="AI131" s="37"/>
      <c r="AK131" s="37"/>
      <c r="AL131" s="37"/>
      <c r="AM131" s="37"/>
      <c r="AN131" s="37"/>
      <c r="AO131" s="37"/>
      <c r="AP131" s="37"/>
      <c r="AQ131" s="37"/>
      <c r="AR131" s="37"/>
    </row>
    <row r="132" spans="1:44" x14ac:dyDescent="0.3">
      <c r="A132" s="156" t="s">
        <v>439</v>
      </c>
      <c r="B132" s="156" t="s">
        <v>66</v>
      </c>
      <c r="C132" s="148">
        <v>46177</v>
      </c>
      <c r="D132" s="156" t="s">
        <v>378</v>
      </c>
      <c r="E132" s="156" t="s">
        <v>66</v>
      </c>
      <c r="F132" s="156" t="s">
        <v>66</v>
      </c>
      <c r="G132" s="55" t="s">
        <v>440</v>
      </c>
      <c r="H132" s="58">
        <v>112.68</v>
      </c>
      <c r="I132" s="58">
        <v>633098</v>
      </c>
      <c r="J132" s="156" t="s">
        <v>66</v>
      </c>
      <c r="K132" s="156" t="s">
        <v>8</v>
      </c>
      <c r="L132" s="156" t="s">
        <v>133</v>
      </c>
      <c r="M132" s="55" t="s">
        <v>134</v>
      </c>
      <c r="N132" s="156" t="s">
        <v>160</v>
      </c>
      <c r="O132" s="156" t="s">
        <v>161</v>
      </c>
      <c r="P132" s="55">
        <v>138</v>
      </c>
      <c r="Q132" s="100">
        <v>40.1</v>
      </c>
      <c r="R132" s="100">
        <v>0.1</v>
      </c>
      <c r="S132" s="156">
        <v>11625</v>
      </c>
      <c r="T132" s="60">
        <f>5351-14</f>
        <v>5337</v>
      </c>
      <c r="U132" s="101">
        <v>0</v>
      </c>
      <c r="V132" s="100">
        <v>0</v>
      </c>
      <c r="W132" s="100">
        <v>0</v>
      </c>
      <c r="X132" s="55">
        <v>0</v>
      </c>
      <c r="Y132" s="55">
        <v>0</v>
      </c>
      <c r="Z132" s="55">
        <v>0</v>
      </c>
      <c r="AA132" s="55">
        <v>0</v>
      </c>
      <c r="AB132" s="55">
        <v>0</v>
      </c>
      <c r="AC132" s="55">
        <v>0</v>
      </c>
      <c r="AD132" s="55">
        <v>0</v>
      </c>
      <c r="AE132" s="55">
        <v>0</v>
      </c>
      <c r="AF132" s="55">
        <f>AF125+T132</f>
        <v>78190</v>
      </c>
      <c r="AG132" s="37"/>
      <c r="AH132" s="37"/>
      <c r="AI132" s="53"/>
      <c r="AJ132" s="62"/>
      <c r="AK132" s="40"/>
      <c r="AL132" s="37"/>
      <c r="AM132" s="37"/>
      <c r="AN132" s="37"/>
      <c r="AO132" s="37"/>
      <c r="AP132" s="37"/>
      <c r="AQ132" s="37"/>
      <c r="AR132" s="37"/>
    </row>
    <row r="133" spans="1:44" x14ac:dyDescent="0.3">
      <c r="A133" s="138"/>
      <c r="B133" s="138"/>
      <c r="C133" s="138"/>
      <c r="D133" s="138"/>
      <c r="E133" s="138"/>
      <c r="F133" s="138"/>
      <c r="G133" s="37" t="s">
        <v>441</v>
      </c>
      <c r="H133" s="38">
        <v>179.2</v>
      </c>
      <c r="I133" s="38">
        <v>1172049</v>
      </c>
      <c r="J133" s="138"/>
      <c r="K133" s="138"/>
      <c r="L133" s="138"/>
      <c r="M133" s="37" t="s">
        <v>380</v>
      </c>
      <c r="N133" s="138"/>
      <c r="O133" s="138"/>
      <c r="P133" s="37">
        <v>159</v>
      </c>
      <c r="Q133" s="39">
        <v>40.1</v>
      </c>
      <c r="R133" s="39">
        <v>0.1</v>
      </c>
      <c r="S133" s="138"/>
      <c r="T133" s="41">
        <f>6229-16</f>
        <v>6213</v>
      </c>
      <c r="U133" s="40">
        <v>0</v>
      </c>
      <c r="V133" s="39">
        <v>0</v>
      </c>
      <c r="W133" s="39">
        <v>0</v>
      </c>
      <c r="X133" s="37">
        <v>0</v>
      </c>
      <c r="Y133" s="37">
        <v>0</v>
      </c>
      <c r="Z133" s="37">
        <v>0</v>
      </c>
      <c r="AA133" s="37">
        <v>0</v>
      </c>
      <c r="AB133" s="37">
        <v>0</v>
      </c>
      <c r="AC133" s="37">
        <v>0</v>
      </c>
      <c r="AD133" s="37">
        <v>0</v>
      </c>
      <c r="AE133" s="37">
        <v>0</v>
      </c>
      <c r="AF133" s="47">
        <f>AF124+T133</f>
        <v>24027</v>
      </c>
      <c r="AG133" s="37"/>
      <c r="AH133" s="37"/>
      <c r="AI133" s="37"/>
      <c r="AK133" s="37"/>
      <c r="AL133" s="37"/>
      <c r="AM133" s="37"/>
      <c r="AN133" s="37"/>
      <c r="AO133" s="37"/>
      <c r="AP133" s="37"/>
      <c r="AQ133" s="37"/>
      <c r="AR133" s="37"/>
    </row>
    <row r="134" spans="1:44" x14ac:dyDescent="0.3">
      <c r="A134" s="37" t="s">
        <v>442</v>
      </c>
      <c r="B134" s="37" t="s">
        <v>66</v>
      </c>
      <c r="C134" s="43">
        <v>46177</v>
      </c>
      <c r="D134" s="37" t="s">
        <v>312</v>
      </c>
      <c r="E134" s="37" t="s">
        <v>66</v>
      </c>
      <c r="F134" s="37" t="s">
        <v>66</v>
      </c>
      <c r="G134" s="37" t="s">
        <v>443</v>
      </c>
      <c r="H134" s="38">
        <v>75.5</v>
      </c>
      <c r="I134" s="38">
        <v>396375</v>
      </c>
      <c r="J134" s="37" t="s">
        <v>66</v>
      </c>
      <c r="K134" s="37" t="s">
        <v>322</v>
      </c>
      <c r="L134" s="37" t="s">
        <v>185</v>
      </c>
      <c r="M134" s="37" t="s">
        <v>444</v>
      </c>
      <c r="N134" s="37" t="s">
        <v>172</v>
      </c>
      <c r="O134" s="37" t="s">
        <v>105</v>
      </c>
      <c r="P134" s="37">
        <v>200</v>
      </c>
      <c r="Q134" s="39">
        <v>25.06</v>
      </c>
      <c r="R134" s="39">
        <v>0.06</v>
      </c>
      <c r="S134" s="45">
        <v>5045</v>
      </c>
      <c r="T134" s="41">
        <v>5000</v>
      </c>
      <c r="U134" s="40">
        <v>0</v>
      </c>
      <c r="V134" s="39">
        <v>0</v>
      </c>
      <c r="W134" s="39">
        <v>0</v>
      </c>
      <c r="X134" s="37">
        <v>0</v>
      </c>
      <c r="Y134" s="41">
        <v>0</v>
      </c>
      <c r="Z134" s="37">
        <v>0</v>
      </c>
      <c r="AA134" s="37">
        <v>0</v>
      </c>
      <c r="AB134" s="37">
        <v>0</v>
      </c>
      <c r="AC134" s="37">
        <v>0</v>
      </c>
      <c r="AD134" s="37">
        <v>0</v>
      </c>
      <c r="AE134" s="37">
        <v>0</v>
      </c>
      <c r="AF134" s="37">
        <f>T134</f>
        <v>5000</v>
      </c>
      <c r="AG134" s="37"/>
      <c r="AH134" s="37"/>
      <c r="AI134" s="53"/>
      <c r="AJ134" s="62"/>
      <c r="AK134" s="40"/>
      <c r="AL134" s="37"/>
      <c r="AM134" s="37"/>
      <c r="AN134" s="37"/>
      <c r="AO134" s="37"/>
      <c r="AP134" s="37"/>
      <c r="AQ134" s="37"/>
      <c r="AR134" s="37"/>
    </row>
    <row r="135" spans="1:44" x14ac:dyDescent="0.3">
      <c r="A135" s="137" t="s">
        <v>66</v>
      </c>
      <c r="B135" s="137" t="s">
        <v>445</v>
      </c>
      <c r="C135" s="139">
        <v>46177</v>
      </c>
      <c r="D135" s="137" t="s">
        <v>312</v>
      </c>
      <c r="E135" s="137" t="s">
        <v>446</v>
      </c>
      <c r="F135" s="137" t="s">
        <v>447</v>
      </c>
      <c r="G135" s="137" t="s">
        <v>448</v>
      </c>
      <c r="H135" s="39">
        <v>107.063</v>
      </c>
      <c r="I135" s="157">
        <v>1776907</v>
      </c>
      <c r="J135" s="158" t="s">
        <v>449</v>
      </c>
      <c r="K135" s="137" t="s">
        <v>50</v>
      </c>
      <c r="L135" s="37" t="s">
        <v>182</v>
      </c>
      <c r="M135" s="37" t="s">
        <v>400</v>
      </c>
      <c r="N135" s="137" t="s">
        <v>172</v>
      </c>
      <c r="O135" s="137" t="s">
        <v>105</v>
      </c>
      <c r="P135" s="37">
        <v>0</v>
      </c>
      <c r="Q135" s="39">
        <v>0</v>
      </c>
      <c r="R135" s="94">
        <v>0</v>
      </c>
      <c r="S135" s="16">
        <v>0</v>
      </c>
      <c r="T135" s="95">
        <v>0</v>
      </c>
      <c r="U135" s="40">
        <v>600</v>
      </c>
      <c r="V135" s="39">
        <v>25.06</v>
      </c>
      <c r="W135" s="39">
        <v>0.06</v>
      </c>
      <c r="X135" s="137">
        <v>20100</v>
      </c>
      <c r="Y135" s="41">
        <v>15000</v>
      </c>
      <c r="Z135" s="37">
        <v>0</v>
      </c>
      <c r="AA135" s="37">
        <v>0</v>
      </c>
      <c r="AB135" s="37">
        <v>0</v>
      </c>
      <c r="AC135" s="37">
        <v>0</v>
      </c>
      <c r="AD135" s="37">
        <v>0</v>
      </c>
      <c r="AE135" s="37">
        <v>0</v>
      </c>
      <c r="AF135" s="37">
        <f>AF118-Y135</f>
        <v>0</v>
      </c>
      <c r="AG135" s="37"/>
      <c r="AH135" s="37"/>
      <c r="AI135" s="37"/>
      <c r="AJ135" s="81" t="s">
        <v>450</v>
      </c>
      <c r="AK135" s="37"/>
      <c r="AL135" s="37"/>
      <c r="AM135" s="37"/>
      <c r="AN135" s="37"/>
      <c r="AO135" s="37"/>
      <c r="AP135" s="37"/>
      <c r="AQ135" s="37"/>
      <c r="AR135" s="37"/>
    </row>
    <row r="136" spans="1:44" x14ac:dyDescent="0.3">
      <c r="A136" s="138"/>
      <c r="B136" s="138"/>
      <c r="C136" s="138"/>
      <c r="D136" s="138"/>
      <c r="E136" s="138"/>
      <c r="F136" s="138"/>
      <c r="G136" s="138"/>
      <c r="H136" s="39">
        <v>85.918000000000006</v>
      </c>
      <c r="I136" s="138"/>
      <c r="J136" s="138"/>
      <c r="K136" s="138"/>
      <c r="L136" s="37" t="s">
        <v>185</v>
      </c>
      <c r="M136" s="37" t="s">
        <v>451</v>
      </c>
      <c r="N136" s="138"/>
      <c r="O136" s="138"/>
      <c r="P136" s="37">
        <v>0</v>
      </c>
      <c r="Q136" s="39">
        <v>0</v>
      </c>
      <c r="R136" s="94">
        <v>0</v>
      </c>
      <c r="S136" s="16">
        <v>0</v>
      </c>
      <c r="T136" s="95">
        <v>0</v>
      </c>
      <c r="U136" s="40">
        <v>200</v>
      </c>
      <c r="V136" s="39">
        <v>26.06</v>
      </c>
      <c r="W136" s="39">
        <v>0.06</v>
      </c>
      <c r="X136" s="138"/>
      <c r="Y136" s="41">
        <v>5000</v>
      </c>
      <c r="Z136" s="37">
        <v>0</v>
      </c>
      <c r="AA136" s="37">
        <v>0</v>
      </c>
      <c r="AB136" s="37">
        <v>0</v>
      </c>
      <c r="AC136" s="37">
        <v>0</v>
      </c>
      <c r="AD136" s="37">
        <v>0</v>
      </c>
      <c r="AE136" s="37">
        <v>0</v>
      </c>
      <c r="AF136" s="37">
        <f>AF134-Y136</f>
        <v>0</v>
      </c>
      <c r="AG136" s="37"/>
      <c r="AH136" s="37"/>
      <c r="AI136" s="37"/>
      <c r="AJ136" s="47" t="s">
        <v>452</v>
      </c>
      <c r="AK136" s="37"/>
      <c r="AL136" s="37"/>
      <c r="AM136" s="37"/>
      <c r="AN136" s="37"/>
      <c r="AO136" s="37"/>
      <c r="AP136" s="37"/>
      <c r="AQ136" s="37"/>
      <c r="AR136" s="37"/>
    </row>
    <row r="137" spans="1:44" x14ac:dyDescent="0.3">
      <c r="A137" s="45" t="s">
        <v>66</v>
      </c>
      <c r="B137" s="45" t="s">
        <v>453</v>
      </c>
      <c r="C137" s="56">
        <v>46177</v>
      </c>
      <c r="D137" s="45" t="s">
        <v>454</v>
      </c>
      <c r="E137" s="45" t="s">
        <v>66</v>
      </c>
      <c r="F137" s="45" t="s">
        <v>66</v>
      </c>
      <c r="G137" s="45" t="s">
        <v>455</v>
      </c>
      <c r="H137" s="57">
        <v>190</v>
      </c>
      <c r="I137" s="57">
        <v>5586000</v>
      </c>
      <c r="J137" s="45" t="s">
        <v>66</v>
      </c>
      <c r="K137" s="45" t="s">
        <v>399</v>
      </c>
      <c r="L137" s="45" t="s">
        <v>164</v>
      </c>
      <c r="M137" s="54" t="s">
        <v>165</v>
      </c>
      <c r="N137" s="45" t="s">
        <v>325</v>
      </c>
      <c r="O137" s="45" t="s">
        <v>105</v>
      </c>
      <c r="P137" s="45">
        <v>0</v>
      </c>
      <c r="Q137" s="98">
        <v>0</v>
      </c>
      <c r="R137" s="98">
        <v>0</v>
      </c>
      <c r="S137" s="48">
        <v>0</v>
      </c>
      <c r="T137" s="99">
        <v>0</v>
      </c>
      <c r="U137" s="92">
        <v>1120</v>
      </c>
      <c r="V137" s="98">
        <v>25.08</v>
      </c>
      <c r="W137" s="98">
        <v>0.08</v>
      </c>
      <c r="X137" s="45">
        <v>28120</v>
      </c>
      <c r="Y137" s="45">
        <v>28000</v>
      </c>
      <c r="Z137" s="45">
        <v>0</v>
      </c>
      <c r="AA137" s="45">
        <v>0</v>
      </c>
      <c r="AB137" s="45">
        <v>0</v>
      </c>
      <c r="AC137" s="45">
        <v>0</v>
      </c>
      <c r="AD137" s="45">
        <v>0</v>
      </c>
      <c r="AE137" s="45">
        <v>0</v>
      </c>
      <c r="AF137" s="45">
        <f>AF128-Y137</f>
        <v>39959</v>
      </c>
      <c r="AG137" s="45"/>
      <c r="AH137" s="45"/>
      <c r="AI137" s="45"/>
      <c r="AJ137" s="54" t="s">
        <v>190</v>
      </c>
      <c r="AK137" s="45"/>
      <c r="AL137" s="45"/>
      <c r="AM137" s="45"/>
      <c r="AN137" s="45"/>
      <c r="AO137" s="45"/>
      <c r="AP137" s="45"/>
      <c r="AQ137" s="45"/>
      <c r="AR137" s="45"/>
    </row>
    <row r="138" spans="1:44" x14ac:dyDescent="0.3">
      <c r="A138" s="149" t="s">
        <v>456</v>
      </c>
      <c r="B138" s="149" t="s">
        <v>66</v>
      </c>
      <c r="C138" s="155">
        <v>46178</v>
      </c>
      <c r="D138" s="149" t="s">
        <v>457</v>
      </c>
      <c r="E138" s="149" t="s">
        <v>66</v>
      </c>
      <c r="F138" s="149" t="s">
        <v>66</v>
      </c>
      <c r="G138" s="16" t="s">
        <v>458</v>
      </c>
      <c r="H138" s="20">
        <v>113.44</v>
      </c>
      <c r="I138" s="20">
        <v>633676</v>
      </c>
      <c r="J138" s="149" t="s">
        <v>66</v>
      </c>
      <c r="K138" s="149" t="s">
        <v>8</v>
      </c>
      <c r="L138" s="149" t="s">
        <v>133</v>
      </c>
      <c r="M138" s="16" t="s">
        <v>134</v>
      </c>
      <c r="N138" s="149" t="s">
        <v>160</v>
      </c>
      <c r="O138" s="149" t="s">
        <v>105</v>
      </c>
      <c r="P138" s="16">
        <v>136</v>
      </c>
      <c r="Q138" s="23">
        <v>40.1</v>
      </c>
      <c r="R138" s="23">
        <v>0.1</v>
      </c>
      <c r="S138" s="149">
        <v>13320</v>
      </c>
      <c r="T138" s="31">
        <f>5320-14</f>
        <v>5306</v>
      </c>
      <c r="U138" s="29">
        <v>0</v>
      </c>
      <c r="V138" s="23">
        <v>0</v>
      </c>
      <c r="W138" s="23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f>AF132+T138</f>
        <v>83496</v>
      </c>
      <c r="AG138" s="16"/>
      <c r="AH138" s="16"/>
      <c r="AI138" s="16"/>
      <c r="AJ138" s="62"/>
      <c r="AK138" s="16"/>
      <c r="AL138" s="16"/>
      <c r="AM138" s="16"/>
      <c r="AN138" s="16"/>
      <c r="AO138" s="16"/>
      <c r="AP138" s="16"/>
      <c r="AQ138" s="16"/>
      <c r="AR138" s="16"/>
    </row>
    <row r="139" spans="1:44" x14ac:dyDescent="0.3">
      <c r="A139" s="151"/>
      <c r="B139" s="151"/>
      <c r="C139" s="151"/>
      <c r="D139" s="151"/>
      <c r="E139" s="151"/>
      <c r="F139" s="151"/>
      <c r="G139" s="16" t="s">
        <v>459</v>
      </c>
      <c r="H139" s="20">
        <v>175.65</v>
      </c>
      <c r="I139" s="20">
        <v>1461443</v>
      </c>
      <c r="J139" s="151"/>
      <c r="K139" s="151"/>
      <c r="L139" s="151"/>
      <c r="M139" s="16" t="s">
        <v>380</v>
      </c>
      <c r="N139" s="151"/>
      <c r="O139" s="151"/>
      <c r="P139" s="16">
        <v>203</v>
      </c>
      <c r="Q139" s="23">
        <v>40.1</v>
      </c>
      <c r="R139" s="23">
        <v>0.1</v>
      </c>
      <c r="S139" s="151"/>
      <c r="T139" s="31">
        <f>7924-20</f>
        <v>7904</v>
      </c>
      <c r="U139" s="29">
        <v>0</v>
      </c>
      <c r="V139" s="23">
        <v>0</v>
      </c>
      <c r="W139" s="23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33">
        <f>AF133+T139</f>
        <v>31931</v>
      </c>
      <c r="AG139" s="16"/>
      <c r="AH139" s="16"/>
      <c r="AI139" s="16"/>
      <c r="AJ139" s="110" t="s">
        <v>460</v>
      </c>
      <c r="AK139" s="16"/>
      <c r="AL139" s="16"/>
      <c r="AM139" s="16"/>
      <c r="AN139" s="16"/>
      <c r="AO139" s="16"/>
      <c r="AP139" s="16"/>
      <c r="AQ139" s="16"/>
      <c r="AR139" s="16"/>
    </row>
    <row r="140" spans="1:44" x14ac:dyDescent="0.3">
      <c r="A140" s="149" t="s">
        <v>461</v>
      </c>
      <c r="B140" s="149" t="s">
        <v>66</v>
      </c>
      <c r="C140" s="155">
        <v>46179</v>
      </c>
      <c r="D140" s="149" t="s">
        <v>462</v>
      </c>
      <c r="E140" s="149" t="s">
        <v>66</v>
      </c>
      <c r="F140" s="149" t="s">
        <v>66</v>
      </c>
      <c r="G140" s="149" t="s">
        <v>463</v>
      </c>
      <c r="H140" s="23">
        <v>123.331</v>
      </c>
      <c r="I140" s="152">
        <v>1566898</v>
      </c>
      <c r="J140" s="149" t="s">
        <v>66</v>
      </c>
      <c r="K140" s="149" t="s">
        <v>464</v>
      </c>
      <c r="L140" s="149" t="s">
        <v>465</v>
      </c>
      <c r="M140" s="149" t="s">
        <v>134</v>
      </c>
      <c r="N140" s="16" t="s">
        <v>466</v>
      </c>
      <c r="O140" s="149" t="s">
        <v>161</v>
      </c>
      <c r="P140" s="16">
        <v>155</v>
      </c>
      <c r="Q140" s="23">
        <v>40.1</v>
      </c>
      <c r="R140" s="23">
        <v>0.1</v>
      </c>
      <c r="S140" s="149">
        <v>12030</v>
      </c>
      <c r="T140" s="31">
        <f>6200-15</f>
        <v>6185</v>
      </c>
      <c r="U140" s="29">
        <v>0</v>
      </c>
      <c r="V140" s="23">
        <v>0</v>
      </c>
      <c r="W140" s="23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f>AF138+T140</f>
        <v>89681</v>
      </c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</row>
    <row r="141" spans="1:44" x14ac:dyDescent="0.3">
      <c r="A141" s="151"/>
      <c r="B141" s="151"/>
      <c r="C141" s="151"/>
      <c r="D141" s="151"/>
      <c r="E141" s="151"/>
      <c r="F141" s="151"/>
      <c r="G141" s="151"/>
      <c r="H141" s="23">
        <v>116.274</v>
      </c>
      <c r="I141" s="151"/>
      <c r="J141" s="151"/>
      <c r="K141" s="151"/>
      <c r="L141" s="151"/>
      <c r="M141" s="151"/>
      <c r="N141" s="16" t="s">
        <v>467</v>
      </c>
      <c r="O141" s="151"/>
      <c r="P141" s="16">
        <v>145</v>
      </c>
      <c r="Q141" s="23">
        <v>40.1</v>
      </c>
      <c r="R141" s="23">
        <v>0.1</v>
      </c>
      <c r="S141" s="151"/>
      <c r="T141" s="31">
        <f>5800-15</f>
        <v>5785</v>
      </c>
      <c r="U141" s="29">
        <v>0</v>
      </c>
      <c r="V141" s="23">
        <v>0</v>
      </c>
      <c r="W141" s="23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f>AF140+T141</f>
        <v>95466</v>
      </c>
      <c r="AG141" s="16"/>
      <c r="AH141" s="16"/>
      <c r="AI141" s="16"/>
      <c r="AJ141" s="109"/>
      <c r="AK141" s="16"/>
      <c r="AL141" s="16"/>
      <c r="AM141" s="16"/>
      <c r="AN141" s="16"/>
      <c r="AO141" s="16"/>
      <c r="AP141" s="16"/>
      <c r="AQ141" s="16"/>
      <c r="AR141" s="16"/>
    </row>
    <row r="142" spans="1:44" x14ac:dyDescent="0.3">
      <c r="A142" s="149" t="s">
        <v>66</v>
      </c>
      <c r="B142" s="149" t="s">
        <v>468</v>
      </c>
      <c r="C142" s="155">
        <v>46179</v>
      </c>
      <c r="D142" s="149" t="s">
        <v>469</v>
      </c>
      <c r="E142" s="149" t="s">
        <v>470</v>
      </c>
      <c r="F142" s="149" t="s">
        <v>471</v>
      </c>
      <c r="G142" s="149" t="s">
        <v>472</v>
      </c>
      <c r="H142" s="20">
        <v>87.11</v>
      </c>
      <c r="I142" s="152">
        <v>3016320</v>
      </c>
      <c r="J142" s="154" t="s">
        <v>473</v>
      </c>
      <c r="K142" s="149" t="s">
        <v>57</v>
      </c>
      <c r="L142" s="16" t="s">
        <v>115</v>
      </c>
      <c r="M142" s="149" t="s">
        <v>142</v>
      </c>
      <c r="N142" s="16" t="s">
        <v>474</v>
      </c>
      <c r="O142" s="149" t="s">
        <v>105</v>
      </c>
      <c r="P142" s="16">
        <v>0</v>
      </c>
      <c r="Q142" s="23">
        <v>0</v>
      </c>
      <c r="R142" s="23">
        <v>0</v>
      </c>
      <c r="S142" s="16">
        <v>0</v>
      </c>
      <c r="T142" s="31">
        <v>0</v>
      </c>
      <c r="U142" s="29">
        <v>320</v>
      </c>
      <c r="V142" s="23">
        <v>25.12</v>
      </c>
      <c r="W142" s="23">
        <v>0.12</v>
      </c>
      <c r="X142" s="149">
        <v>27260</v>
      </c>
      <c r="Y142" s="16">
        <v>8000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f>AF127-Y142</f>
        <v>112975</v>
      </c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</row>
    <row r="143" spans="1:44" x14ac:dyDescent="0.3">
      <c r="A143" s="150"/>
      <c r="B143" s="150"/>
      <c r="C143" s="150"/>
      <c r="D143" s="150"/>
      <c r="E143" s="150"/>
      <c r="F143" s="150"/>
      <c r="G143" s="150"/>
      <c r="H143" s="20">
        <v>107.71</v>
      </c>
      <c r="I143" s="150"/>
      <c r="J143" s="150"/>
      <c r="K143" s="150"/>
      <c r="L143" s="16" t="s">
        <v>475</v>
      </c>
      <c r="M143" s="150"/>
      <c r="N143" s="16" t="s">
        <v>476</v>
      </c>
      <c r="O143" s="150"/>
      <c r="P143" s="16">
        <v>0</v>
      </c>
      <c r="Q143" s="23">
        <v>0</v>
      </c>
      <c r="R143" s="23">
        <v>0</v>
      </c>
      <c r="S143" s="16">
        <v>0</v>
      </c>
      <c r="T143" s="31">
        <v>0</v>
      </c>
      <c r="U143" s="29">
        <v>320</v>
      </c>
      <c r="V143" s="23">
        <v>25.12</v>
      </c>
      <c r="W143" s="23">
        <v>0.12</v>
      </c>
      <c r="X143" s="150"/>
      <c r="Y143" s="16">
        <v>8000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f>AF142-Y143</f>
        <v>104975</v>
      </c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</row>
    <row r="144" spans="1:44" x14ac:dyDescent="0.3">
      <c r="A144" s="150"/>
      <c r="B144" s="150"/>
      <c r="C144" s="150"/>
      <c r="D144" s="150"/>
      <c r="E144" s="150"/>
      <c r="F144" s="150"/>
      <c r="G144" s="150"/>
      <c r="H144" s="20">
        <v>123.16</v>
      </c>
      <c r="I144" s="150"/>
      <c r="J144" s="150"/>
      <c r="K144" s="150"/>
      <c r="L144" s="16" t="s">
        <v>477</v>
      </c>
      <c r="M144" s="150"/>
      <c r="N144" s="16" t="s">
        <v>478</v>
      </c>
      <c r="O144" s="150"/>
      <c r="P144" s="16">
        <v>0</v>
      </c>
      <c r="Q144" s="23">
        <v>0</v>
      </c>
      <c r="R144" s="23">
        <v>0</v>
      </c>
      <c r="S144" s="16">
        <v>0</v>
      </c>
      <c r="T144" s="31">
        <v>0</v>
      </c>
      <c r="U144" s="29">
        <v>240</v>
      </c>
      <c r="V144" s="23">
        <v>25.12</v>
      </c>
      <c r="W144" s="23">
        <v>0.12</v>
      </c>
      <c r="X144" s="150"/>
      <c r="Y144" s="16">
        <v>6000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f>AF143-Y144</f>
        <v>98975</v>
      </c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</row>
    <row r="145" spans="1:44" x14ac:dyDescent="0.3">
      <c r="A145" s="151"/>
      <c r="B145" s="151"/>
      <c r="C145" s="151"/>
      <c r="D145" s="151"/>
      <c r="E145" s="151"/>
      <c r="F145" s="151"/>
      <c r="G145" s="151"/>
      <c r="H145" s="20">
        <v>143.76</v>
      </c>
      <c r="I145" s="151"/>
      <c r="J145" s="151"/>
      <c r="K145" s="151"/>
      <c r="L145" s="16" t="s">
        <v>475</v>
      </c>
      <c r="M145" s="151"/>
      <c r="N145" s="16" t="s">
        <v>479</v>
      </c>
      <c r="O145" s="151"/>
      <c r="P145" s="16">
        <v>0</v>
      </c>
      <c r="Q145" s="23">
        <v>0</v>
      </c>
      <c r="R145" s="23">
        <v>0</v>
      </c>
      <c r="S145" s="16">
        <v>0</v>
      </c>
      <c r="T145" s="31">
        <v>0</v>
      </c>
      <c r="U145" s="29">
        <v>200</v>
      </c>
      <c r="V145" s="23">
        <v>25.12</v>
      </c>
      <c r="W145" s="23">
        <v>0.12</v>
      </c>
      <c r="X145" s="151"/>
      <c r="Y145" s="16">
        <v>5000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f>AF144-Y145</f>
        <v>93975</v>
      </c>
      <c r="AG145" s="16"/>
      <c r="AH145" s="16"/>
      <c r="AI145" s="16"/>
      <c r="AJ145" s="33" t="s">
        <v>480</v>
      </c>
      <c r="AK145" s="16"/>
      <c r="AL145" s="16"/>
      <c r="AM145" s="16"/>
      <c r="AN145" s="16"/>
      <c r="AO145" s="16"/>
      <c r="AP145" s="16"/>
      <c r="AQ145" s="16"/>
      <c r="AR145" s="16"/>
    </row>
    <row r="146" spans="1:44" x14ac:dyDescent="0.3">
      <c r="A146" s="149" t="s">
        <v>66</v>
      </c>
      <c r="B146" s="149" t="s">
        <v>481</v>
      </c>
      <c r="C146" s="155">
        <v>46544</v>
      </c>
      <c r="D146" s="149" t="s">
        <v>327</v>
      </c>
      <c r="E146" s="149" t="s">
        <v>482</v>
      </c>
      <c r="F146" s="149" t="s">
        <v>483</v>
      </c>
      <c r="G146" s="149" t="s">
        <v>484</v>
      </c>
      <c r="H146" s="20" t="s">
        <v>485</v>
      </c>
      <c r="I146" s="152" t="s">
        <v>486</v>
      </c>
      <c r="J146" s="154" t="s">
        <v>487</v>
      </c>
      <c r="K146" s="149" t="s">
        <v>488</v>
      </c>
      <c r="L146" s="149" t="s">
        <v>303</v>
      </c>
      <c r="M146" s="149" t="s">
        <v>116</v>
      </c>
      <c r="N146" s="16" t="s">
        <v>489</v>
      </c>
      <c r="O146" s="149" t="s">
        <v>105</v>
      </c>
      <c r="P146" s="16">
        <v>0</v>
      </c>
      <c r="Q146" s="23">
        <v>0</v>
      </c>
      <c r="R146" s="23">
        <v>0</v>
      </c>
      <c r="S146" s="16">
        <v>0</v>
      </c>
      <c r="T146" s="31">
        <v>0</v>
      </c>
      <c r="U146" s="29">
        <v>540</v>
      </c>
      <c r="V146" s="23">
        <v>25.12</v>
      </c>
      <c r="W146" s="23">
        <v>0.12</v>
      </c>
      <c r="X146" s="149">
        <v>25210</v>
      </c>
      <c r="Y146" s="16">
        <v>14000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f>AF130-Y146</f>
        <v>56800</v>
      </c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</row>
    <row r="147" spans="1:44" x14ac:dyDescent="0.3">
      <c r="A147" s="150"/>
      <c r="B147" s="150"/>
      <c r="C147" s="150"/>
      <c r="D147" s="150"/>
      <c r="E147" s="150"/>
      <c r="F147" s="150"/>
      <c r="G147" s="150"/>
      <c r="H147" s="20" t="s">
        <v>490</v>
      </c>
      <c r="I147" s="150"/>
      <c r="J147" s="150"/>
      <c r="K147" s="150"/>
      <c r="L147" s="150"/>
      <c r="M147" s="151"/>
      <c r="N147" s="16" t="s">
        <v>491</v>
      </c>
      <c r="O147" s="150"/>
      <c r="P147" s="16">
        <v>0</v>
      </c>
      <c r="Q147" s="23">
        <v>0</v>
      </c>
      <c r="R147" s="23">
        <v>0</v>
      </c>
      <c r="S147" s="16">
        <v>0</v>
      </c>
      <c r="T147" s="31">
        <v>0</v>
      </c>
      <c r="U147" s="29">
        <v>280</v>
      </c>
      <c r="V147" s="23">
        <v>25.12</v>
      </c>
      <c r="W147" s="23">
        <v>0.12</v>
      </c>
      <c r="X147" s="150"/>
      <c r="Y147" s="16">
        <v>7000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f>AF146-Y147</f>
        <v>49800</v>
      </c>
      <c r="AG147" s="16"/>
      <c r="AH147" s="16"/>
      <c r="AI147" s="16"/>
      <c r="AJ147" s="32" t="s">
        <v>492</v>
      </c>
      <c r="AK147" s="16"/>
      <c r="AL147" s="16"/>
      <c r="AM147" s="16"/>
      <c r="AN147" s="16"/>
      <c r="AO147" s="16"/>
      <c r="AP147" s="16"/>
      <c r="AQ147" s="16"/>
      <c r="AR147" s="16"/>
    </row>
    <row r="148" spans="1:44" x14ac:dyDescent="0.3">
      <c r="A148" s="151"/>
      <c r="B148" s="151"/>
      <c r="C148" s="151"/>
      <c r="D148" s="151"/>
      <c r="E148" s="151"/>
      <c r="F148" s="151"/>
      <c r="G148" s="151"/>
      <c r="H148" s="20" t="s">
        <v>493</v>
      </c>
      <c r="I148" s="151"/>
      <c r="J148" s="151"/>
      <c r="K148" s="151"/>
      <c r="L148" s="151"/>
      <c r="M148" s="16" t="s">
        <v>191</v>
      </c>
      <c r="N148" s="16" t="s">
        <v>192</v>
      </c>
      <c r="O148" s="151"/>
      <c r="P148" s="16">
        <v>0</v>
      </c>
      <c r="Q148" s="23">
        <v>0</v>
      </c>
      <c r="R148" s="23">
        <v>0</v>
      </c>
      <c r="S148" s="16">
        <v>0</v>
      </c>
      <c r="T148" s="31">
        <v>0</v>
      </c>
      <c r="U148" s="29">
        <v>190</v>
      </c>
      <c r="V148" s="23">
        <v>25.08</v>
      </c>
      <c r="W148" s="23">
        <v>0.08</v>
      </c>
      <c r="X148" s="151"/>
      <c r="Y148" s="16">
        <v>4000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f>AF131-Y148</f>
        <v>125</v>
      </c>
      <c r="AG148" s="16"/>
      <c r="AH148" s="16"/>
      <c r="AI148" s="16"/>
      <c r="AJ148" s="54" t="s">
        <v>494</v>
      </c>
      <c r="AK148" s="16"/>
      <c r="AL148" s="16"/>
      <c r="AM148" s="16"/>
      <c r="AN148" s="16"/>
      <c r="AO148" s="16"/>
      <c r="AP148" s="16"/>
      <c r="AQ148" s="16"/>
      <c r="AR148" s="16"/>
    </row>
    <row r="149" spans="1:44" x14ac:dyDescent="0.3">
      <c r="A149" s="16" t="s">
        <v>495</v>
      </c>
      <c r="B149" s="16" t="s">
        <v>66</v>
      </c>
      <c r="C149" s="25">
        <v>46179</v>
      </c>
      <c r="D149" s="16" t="s">
        <v>496</v>
      </c>
      <c r="E149" s="16" t="s">
        <v>66</v>
      </c>
      <c r="F149" s="16" t="s">
        <v>66</v>
      </c>
      <c r="G149" s="16" t="s">
        <v>497</v>
      </c>
      <c r="H149" s="20">
        <v>118.11</v>
      </c>
      <c r="I149" s="20">
        <v>1204811</v>
      </c>
      <c r="J149" s="16" t="s">
        <v>66</v>
      </c>
      <c r="K149" s="16" t="s">
        <v>8</v>
      </c>
      <c r="L149" s="16" t="s">
        <v>133</v>
      </c>
      <c r="M149" s="16" t="s">
        <v>134</v>
      </c>
      <c r="N149" s="16" t="s">
        <v>160</v>
      </c>
      <c r="O149" s="16" t="s">
        <v>105</v>
      </c>
      <c r="P149" s="16">
        <v>246</v>
      </c>
      <c r="Q149" s="23">
        <v>40.1</v>
      </c>
      <c r="R149" s="23">
        <v>0.1</v>
      </c>
      <c r="S149" s="16">
        <v>9730</v>
      </c>
      <c r="T149" s="31">
        <v>9705</v>
      </c>
      <c r="U149" s="29">
        <v>0</v>
      </c>
      <c r="V149" s="23">
        <v>0</v>
      </c>
      <c r="W149" s="23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f>AF138+T149</f>
        <v>93201</v>
      </c>
      <c r="AG149" s="16"/>
      <c r="AH149" s="16"/>
      <c r="AI149" s="16"/>
      <c r="AJ149" s="46" t="s">
        <v>332</v>
      </c>
      <c r="AK149" s="16"/>
      <c r="AL149" s="16"/>
      <c r="AM149" s="16"/>
      <c r="AN149" s="16"/>
      <c r="AO149" s="16"/>
      <c r="AP149" s="16"/>
      <c r="AQ149" s="16"/>
      <c r="AR149" s="16"/>
    </row>
    <row r="150" spans="1:44" x14ac:dyDescent="0.3">
      <c r="A150" s="16" t="s">
        <v>498</v>
      </c>
      <c r="B150" s="16" t="s">
        <v>66</v>
      </c>
      <c r="C150" s="25">
        <v>46180</v>
      </c>
      <c r="D150" s="16" t="s">
        <v>499</v>
      </c>
      <c r="E150" s="16" t="s">
        <v>66</v>
      </c>
      <c r="F150" s="16" t="s">
        <v>66</v>
      </c>
      <c r="G150" s="16" t="s">
        <v>39</v>
      </c>
      <c r="H150" s="20">
        <v>167.48</v>
      </c>
      <c r="I150" s="20">
        <v>3476458</v>
      </c>
      <c r="J150" s="16" t="s">
        <v>66</v>
      </c>
      <c r="K150" s="16" t="s">
        <v>8</v>
      </c>
      <c r="L150" s="16" t="s">
        <v>133</v>
      </c>
      <c r="M150" s="33" t="s">
        <v>165</v>
      </c>
      <c r="N150" s="16" t="s">
        <v>160</v>
      </c>
      <c r="O150" s="16" t="s">
        <v>105</v>
      </c>
      <c r="P150" s="16">
        <v>331</v>
      </c>
      <c r="Q150" s="23">
        <v>60.11</v>
      </c>
      <c r="R150" s="23">
        <v>0.11</v>
      </c>
      <c r="S150" s="16">
        <v>19845</v>
      </c>
      <c r="T150" s="31">
        <v>19808</v>
      </c>
      <c r="U150" s="29">
        <v>0</v>
      </c>
      <c r="V150" s="23">
        <v>0</v>
      </c>
      <c r="W150" s="23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f>AF137+T150</f>
        <v>59767</v>
      </c>
      <c r="AG150" s="16"/>
      <c r="AH150" s="16"/>
      <c r="AI150" s="16"/>
      <c r="AJ150" s="33" t="s">
        <v>166</v>
      </c>
      <c r="AK150" s="16"/>
      <c r="AL150" s="16"/>
      <c r="AM150" s="16"/>
      <c r="AN150" s="16"/>
      <c r="AO150" s="16"/>
      <c r="AP150" s="16"/>
      <c r="AQ150" s="16"/>
      <c r="AR150" s="16"/>
    </row>
    <row r="151" spans="1:44" x14ac:dyDescent="0.3">
      <c r="A151" s="16"/>
      <c r="B151" s="16"/>
      <c r="C151" s="16"/>
      <c r="D151" s="16"/>
      <c r="E151" s="16"/>
      <c r="F151" s="16"/>
      <c r="G151" s="16"/>
      <c r="H151" s="20"/>
      <c r="I151" s="20"/>
      <c r="J151" s="16"/>
      <c r="K151" s="16"/>
      <c r="L151" s="16"/>
      <c r="M151" s="16"/>
      <c r="N151" s="16"/>
      <c r="O151" s="16"/>
      <c r="P151" s="16"/>
      <c r="Q151" s="23"/>
      <c r="R151" s="23"/>
      <c r="S151" s="16"/>
      <c r="T151" s="31"/>
      <c r="U151" s="29"/>
      <c r="V151" s="23"/>
      <c r="W151" s="23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</row>
    <row r="152" spans="1:44" x14ac:dyDescent="0.3">
      <c r="A152" s="16"/>
      <c r="B152" s="16"/>
      <c r="C152" s="16"/>
      <c r="D152" s="16"/>
      <c r="E152" s="16"/>
      <c r="F152" s="16"/>
      <c r="G152" s="16"/>
      <c r="H152" s="20"/>
      <c r="I152" s="20"/>
      <c r="J152" s="16"/>
      <c r="K152" s="16"/>
      <c r="L152" s="16"/>
      <c r="M152" s="16"/>
      <c r="N152" s="16"/>
      <c r="O152" s="16"/>
      <c r="P152" s="16"/>
      <c r="Q152" s="23"/>
      <c r="R152" s="23"/>
      <c r="S152" s="16"/>
      <c r="T152" s="31"/>
      <c r="U152" s="29"/>
      <c r="V152" s="23"/>
      <c r="W152" s="23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</row>
    <row r="153" spans="1:44" x14ac:dyDescent="0.3">
      <c r="A153" s="16"/>
      <c r="B153" s="16"/>
      <c r="C153" s="16"/>
      <c r="D153" s="16"/>
      <c r="E153" s="16"/>
      <c r="F153" s="16"/>
      <c r="G153" s="16"/>
      <c r="H153" s="20"/>
      <c r="I153" s="20"/>
      <c r="J153" s="16"/>
      <c r="K153" s="16"/>
      <c r="L153" s="16"/>
      <c r="M153" s="16"/>
      <c r="N153" s="16"/>
      <c r="O153" s="16"/>
      <c r="P153" s="16"/>
      <c r="Q153" s="23"/>
      <c r="R153" s="23"/>
      <c r="S153" s="16"/>
      <c r="T153" s="31"/>
      <c r="U153" s="29"/>
      <c r="V153" s="23"/>
      <c r="W153" s="23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</row>
    <row r="154" spans="1:44" x14ac:dyDescent="0.3">
      <c r="A154" s="16"/>
      <c r="B154" s="16"/>
      <c r="C154" s="16"/>
      <c r="D154" s="16"/>
      <c r="E154" s="16"/>
      <c r="F154" s="16"/>
      <c r="G154" s="16"/>
      <c r="H154" s="20"/>
      <c r="I154" s="20"/>
      <c r="J154" s="16"/>
      <c r="K154" s="16"/>
      <c r="L154" s="16"/>
      <c r="M154" s="16"/>
      <c r="N154" s="16"/>
      <c r="O154" s="16"/>
      <c r="P154" s="16"/>
      <c r="Q154" s="23"/>
      <c r="R154" s="23"/>
      <c r="S154" s="16"/>
      <c r="T154" s="31"/>
      <c r="U154" s="29"/>
      <c r="V154" s="23"/>
      <c r="W154" s="23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</row>
    <row r="155" spans="1:44" x14ac:dyDescent="0.3">
      <c r="A155" s="16"/>
      <c r="B155" s="16"/>
      <c r="C155" s="16"/>
      <c r="D155" s="16"/>
      <c r="E155" s="16"/>
      <c r="F155" s="16"/>
      <c r="G155" s="16"/>
      <c r="H155" s="20"/>
      <c r="I155" s="20"/>
      <c r="J155" s="16"/>
      <c r="K155" s="16"/>
      <c r="L155" s="16"/>
      <c r="M155" s="16"/>
      <c r="N155" s="16"/>
      <c r="O155" s="16"/>
      <c r="P155" s="16"/>
      <c r="Q155" s="23"/>
      <c r="R155" s="23"/>
      <c r="S155" s="16"/>
      <c r="T155" s="31"/>
      <c r="U155" s="29"/>
      <c r="V155" s="23"/>
      <c r="W155" s="23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</row>
    <row r="156" spans="1:44" x14ac:dyDescent="0.3">
      <c r="A156" s="16"/>
      <c r="B156" s="16"/>
      <c r="C156" s="16"/>
      <c r="D156" s="16"/>
      <c r="E156" s="16"/>
      <c r="F156" s="16"/>
      <c r="G156" s="16"/>
      <c r="H156" s="20"/>
      <c r="I156" s="20"/>
      <c r="J156" s="16"/>
      <c r="K156" s="16"/>
      <c r="L156" s="16"/>
      <c r="M156" s="16"/>
      <c r="N156" s="16"/>
      <c r="O156" s="16"/>
      <c r="P156" s="16"/>
      <c r="Q156" s="23"/>
      <c r="R156" s="23"/>
      <c r="S156" s="16"/>
      <c r="T156" s="31"/>
      <c r="U156" s="29"/>
      <c r="V156" s="23"/>
      <c r="W156" s="23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</row>
    <row r="157" spans="1:44" x14ac:dyDescent="0.3">
      <c r="A157" s="16"/>
      <c r="B157" s="16"/>
      <c r="C157" s="16"/>
      <c r="D157" s="16"/>
      <c r="E157" s="16"/>
      <c r="F157" s="16"/>
      <c r="G157" s="16"/>
      <c r="H157" s="20"/>
      <c r="I157" s="20"/>
      <c r="J157" s="16"/>
      <c r="K157" s="16"/>
      <c r="L157" s="16"/>
      <c r="M157" s="16"/>
      <c r="N157" s="16"/>
      <c r="O157" s="16"/>
      <c r="P157" s="16"/>
      <c r="Q157" s="23"/>
      <c r="R157" s="23"/>
      <c r="S157" s="16"/>
      <c r="T157" s="31"/>
      <c r="U157" s="29"/>
      <c r="V157" s="23"/>
      <c r="W157" s="23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</row>
    <row r="158" spans="1:44" x14ac:dyDescent="0.3">
      <c r="A158" s="16"/>
      <c r="B158" s="16"/>
      <c r="C158" s="16"/>
      <c r="D158" s="16"/>
      <c r="E158" s="16"/>
      <c r="F158" s="16"/>
      <c r="G158" s="16"/>
      <c r="H158" s="20"/>
      <c r="I158" s="20"/>
      <c r="J158" s="16"/>
      <c r="K158" s="16"/>
      <c r="L158" s="16"/>
      <c r="M158" s="16"/>
      <c r="N158" s="16"/>
      <c r="O158" s="16"/>
      <c r="P158" s="16"/>
      <c r="Q158" s="23"/>
      <c r="R158" s="23"/>
      <c r="S158" s="16"/>
      <c r="T158" s="31"/>
      <c r="U158" s="29"/>
      <c r="V158" s="23"/>
      <c r="W158" s="23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</row>
    <row r="159" spans="1:44" x14ac:dyDescent="0.3">
      <c r="A159" s="16"/>
      <c r="B159" s="16"/>
      <c r="C159" s="16"/>
      <c r="D159" s="16"/>
      <c r="E159" s="16"/>
      <c r="F159" s="16"/>
      <c r="G159" s="16"/>
      <c r="H159" s="20"/>
      <c r="I159" s="20"/>
      <c r="J159" s="16"/>
      <c r="K159" s="16"/>
      <c r="L159" s="16"/>
      <c r="M159" s="16"/>
      <c r="N159" s="16"/>
      <c r="O159" s="16"/>
      <c r="P159" s="16"/>
      <c r="Q159" s="23"/>
      <c r="R159" s="23"/>
      <c r="S159" s="16"/>
      <c r="T159" s="31"/>
      <c r="U159" s="29"/>
      <c r="V159" s="23"/>
      <c r="W159" s="23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</row>
    <row r="160" spans="1:44" x14ac:dyDescent="0.3">
      <c r="A160" s="16"/>
      <c r="B160" s="16"/>
      <c r="C160" s="16"/>
      <c r="D160" s="16"/>
      <c r="E160" s="16"/>
      <c r="F160" s="16"/>
      <c r="G160" s="16"/>
      <c r="H160" s="20"/>
      <c r="I160" s="20"/>
      <c r="J160" s="16"/>
      <c r="K160" s="16"/>
      <c r="L160" s="16"/>
      <c r="M160" s="16"/>
      <c r="N160" s="16"/>
      <c r="O160" s="16"/>
      <c r="P160" s="16"/>
      <c r="Q160" s="23"/>
      <c r="R160" s="23"/>
      <c r="S160" s="16"/>
      <c r="T160" s="31"/>
      <c r="U160" s="29"/>
      <c r="V160" s="23"/>
      <c r="W160" s="23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</row>
    <row r="161" spans="1:44" x14ac:dyDescent="0.3">
      <c r="A161" s="16"/>
      <c r="B161" s="16"/>
      <c r="C161" s="16"/>
      <c r="D161" s="16"/>
      <c r="E161" s="16"/>
      <c r="F161" s="16"/>
      <c r="G161" s="16"/>
      <c r="H161" s="20"/>
      <c r="I161" s="20"/>
      <c r="J161" s="16"/>
      <c r="K161" s="16"/>
      <c r="L161" s="16"/>
      <c r="M161" s="16"/>
      <c r="N161" s="16"/>
      <c r="O161" s="16"/>
      <c r="P161" s="16"/>
      <c r="Q161" s="23"/>
      <c r="R161" s="23"/>
      <c r="S161" s="16"/>
      <c r="T161" s="31"/>
      <c r="U161" s="29"/>
      <c r="V161" s="23"/>
      <c r="W161" s="23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</row>
    <row r="162" spans="1:44" x14ac:dyDescent="0.3">
      <c r="A162" s="16"/>
      <c r="B162" s="16"/>
      <c r="C162" s="16"/>
      <c r="D162" s="16"/>
      <c r="E162" s="16"/>
      <c r="F162" s="16"/>
      <c r="G162" s="16"/>
      <c r="H162" s="20"/>
      <c r="I162" s="20"/>
      <c r="J162" s="16"/>
      <c r="K162" s="16"/>
      <c r="L162" s="16"/>
      <c r="M162" s="16"/>
      <c r="N162" s="16"/>
      <c r="O162" s="16"/>
      <c r="P162" s="16"/>
      <c r="Q162" s="23"/>
      <c r="R162" s="23"/>
      <c r="S162" s="16"/>
      <c r="T162" s="31"/>
      <c r="U162" s="29"/>
      <c r="V162" s="23"/>
      <c r="W162" s="23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</row>
    <row r="163" spans="1:44" x14ac:dyDescent="0.3">
      <c r="A163" s="16"/>
      <c r="B163" s="16"/>
      <c r="C163" s="16"/>
      <c r="D163" s="16"/>
      <c r="E163" s="16"/>
      <c r="F163" s="16"/>
      <c r="G163" s="16"/>
      <c r="H163" s="20"/>
      <c r="I163" s="20"/>
      <c r="J163" s="16"/>
      <c r="K163" s="16"/>
      <c r="L163" s="16"/>
      <c r="M163" s="16"/>
      <c r="N163" s="16"/>
      <c r="O163" s="16"/>
      <c r="P163" s="16"/>
      <c r="Q163" s="23"/>
      <c r="R163" s="23"/>
      <c r="S163" s="16"/>
      <c r="T163" s="31"/>
      <c r="U163" s="29"/>
      <c r="V163" s="23"/>
      <c r="W163" s="23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</row>
    <row r="164" spans="1:44" x14ac:dyDescent="0.3">
      <c r="A164" s="16"/>
      <c r="B164" s="16"/>
      <c r="C164" s="16"/>
      <c r="D164" s="16"/>
      <c r="E164" s="16"/>
      <c r="F164" s="16"/>
      <c r="G164" s="16"/>
      <c r="H164" s="20"/>
      <c r="I164" s="20"/>
      <c r="J164" s="16"/>
      <c r="K164" s="16"/>
      <c r="L164" s="16"/>
      <c r="M164" s="16"/>
      <c r="N164" s="16"/>
      <c r="O164" s="16"/>
      <c r="P164" s="16"/>
      <c r="Q164" s="23"/>
      <c r="R164" s="23"/>
      <c r="S164" s="16"/>
      <c r="T164" s="31"/>
      <c r="U164" s="29"/>
      <c r="V164" s="23"/>
      <c r="W164" s="23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</row>
    <row r="165" spans="1:44" x14ac:dyDescent="0.3">
      <c r="A165" s="16"/>
      <c r="B165" s="16"/>
      <c r="C165" s="16"/>
      <c r="D165" s="16"/>
      <c r="E165" s="16"/>
      <c r="F165" s="16"/>
      <c r="G165" s="16"/>
      <c r="H165" s="20"/>
      <c r="I165" s="20"/>
      <c r="J165" s="16"/>
      <c r="K165" s="16"/>
      <c r="L165" s="16"/>
      <c r="M165" s="16"/>
      <c r="N165" s="16"/>
      <c r="O165" s="16"/>
      <c r="P165" s="16"/>
      <c r="Q165" s="23"/>
      <c r="R165" s="23"/>
      <c r="S165" s="16"/>
      <c r="T165" s="31"/>
      <c r="U165" s="29"/>
      <c r="V165" s="23"/>
      <c r="W165" s="23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</row>
    <row r="166" spans="1:44" x14ac:dyDescent="0.3">
      <c r="A166" s="16"/>
      <c r="B166" s="16"/>
      <c r="C166" s="16"/>
      <c r="D166" s="16"/>
      <c r="E166" s="16"/>
      <c r="F166" s="16"/>
      <c r="G166" s="16"/>
      <c r="H166" s="20"/>
      <c r="I166" s="20"/>
      <c r="J166" s="16"/>
      <c r="K166" s="16"/>
      <c r="L166" s="16"/>
      <c r="M166" s="16"/>
      <c r="N166" s="16"/>
      <c r="O166" s="16"/>
      <c r="P166" s="16"/>
      <c r="Q166" s="23"/>
      <c r="R166" s="23"/>
      <c r="S166" s="16"/>
      <c r="T166" s="31"/>
      <c r="U166" s="29"/>
      <c r="V166" s="23"/>
      <c r="W166" s="23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</row>
    <row r="167" spans="1:44" x14ac:dyDescent="0.3">
      <c r="A167" s="16"/>
      <c r="B167" s="16"/>
      <c r="C167" s="16"/>
      <c r="D167" s="16"/>
      <c r="E167" s="16"/>
      <c r="F167" s="16"/>
      <c r="G167" s="16"/>
      <c r="H167" s="20"/>
      <c r="I167" s="20"/>
      <c r="J167" s="16"/>
      <c r="K167" s="16"/>
      <c r="L167" s="16"/>
      <c r="M167" s="16"/>
      <c r="N167" s="16"/>
      <c r="O167" s="16"/>
      <c r="P167" s="16"/>
      <c r="Q167" s="23"/>
      <c r="R167" s="23"/>
      <c r="S167" s="16"/>
      <c r="T167" s="31"/>
      <c r="U167" s="29"/>
      <c r="V167" s="23"/>
      <c r="W167" s="23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</row>
    <row r="168" spans="1:44" x14ac:dyDescent="0.3">
      <c r="A168" s="16"/>
      <c r="B168" s="16"/>
      <c r="C168" s="16"/>
      <c r="D168" s="16"/>
      <c r="E168" s="16"/>
      <c r="F168" s="16"/>
      <c r="G168" s="16"/>
      <c r="H168" s="20"/>
      <c r="I168" s="20"/>
      <c r="J168" s="16"/>
      <c r="K168" s="16"/>
      <c r="L168" s="16"/>
      <c r="M168" s="16"/>
      <c r="N168" s="16"/>
      <c r="O168" s="16"/>
      <c r="P168" s="16"/>
      <c r="Q168" s="23"/>
      <c r="R168" s="23"/>
      <c r="S168" s="16"/>
      <c r="T168" s="31"/>
      <c r="U168" s="29"/>
      <c r="V168" s="23"/>
      <c r="W168" s="23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</row>
    <row r="169" spans="1:44" x14ac:dyDescent="0.3">
      <c r="A169" s="16"/>
      <c r="B169" s="16"/>
      <c r="C169" s="16"/>
      <c r="D169" s="16"/>
      <c r="E169" s="16"/>
      <c r="F169" s="16"/>
      <c r="G169" s="16"/>
      <c r="H169" s="20"/>
      <c r="I169" s="20"/>
      <c r="J169" s="16"/>
      <c r="K169" s="16"/>
      <c r="L169" s="16"/>
      <c r="M169" s="16"/>
      <c r="N169" s="16"/>
      <c r="O169" s="16"/>
      <c r="P169" s="16"/>
      <c r="Q169" s="23"/>
      <c r="R169" s="23"/>
      <c r="S169" s="16"/>
      <c r="T169" s="31"/>
      <c r="U169" s="29"/>
      <c r="V169" s="23"/>
      <c r="W169" s="23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</row>
    <row r="170" spans="1:44" x14ac:dyDescent="0.3">
      <c r="A170" s="16"/>
      <c r="B170" s="16"/>
      <c r="C170" s="16"/>
      <c r="D170" s="16"/>
      <c r="E170" s="16"/>
      <c r="F170" s="16"/>
      <c r="G170" s="16"/>
      <c r="H170" s="20"/>
      <c r="I170" s="20"/>
      <c r="J170" s="16"/>
      <c r="K170" s="16"/>
      <c r="L170" s="16"/>
      <c r="M170" s="16"/>
      <c r="N170" s="16"/>
      <c r="O170" s="16"/>
      <c r="P170" s="16"/>
      <c r="Q170" s="23"/>
      <c r="R170" s="23"/>
      <c r="S170" s="16"/>
      <c r="T170" s="31"/>
      <c r="U170" s="29"/>
      <c r="V170" s="23"/>
      <c r="W170" s="23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</row>
    <row r="171" spans="1:44" x14ac:dyDescent="0.3">
      <c r="A171" s="16"/>
      <c r="B171" s="16"/>
      <c r="C171" s="16"/>
      <c r="D171" s="16"/>
      <c r="E171" s="16"/>
      <c r="F171" s="16"/>
      <c r="G171" s="16"/>
      <c r="H171" s="20"/>
      <c r="I171" s="20"/>
      <c r="J171" s="16"/>
      <c r="K171" s="16"/>
      <c r="L171" s="16"/>
      <c r="M171" s="16"/>
      <c r="N171" s="16"/>
      <c r="O171" s="16"/>
      <c r="P171" s="16"/>
      <c r="Q171" s="23"/>
      <c r="R171" s="23"/>
      <c r="S171" s="16"/>
      <c r="T171" s="31"/>
      <c r="U171" s="29"/>
      <c r="V171" s="23"/>
      <c r="W171" s="23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</row>
    <row r="172" spans="1:44" x14ac:dyDescent="0.3">
      <c r="A172" s="16"/>
      <c r="B172" s="16"/>
      <c r="C172" s="16"/>
      <c r="D172" s="16"/>
      <c r="E172" s="16"/>
      <c r="F172" s="16"/>
      <c r="G172" s="16"/>
      <c r="H172" s="20"/>
      <c r="I172" s="20"/>
      <c r="J172" s="16"/>
      <c r="K172" s="16"/>
      <c r="L172" s="16"/>
      <c r="M172" s="16"/>
      <c r="N172" s="16"/>
      <c r="O172" s="16"/>
      <c r="P172" s="16"/>
      <c r="Q172" s="23"/>
      <c r="R172" s="23"/>
      <c r="S172" s="16"/>
      <c r="T172" s="31"/>
      <c r="U172" s="29"/>
      <c r="V172" s="23"/>
      <c r="W172" s="23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</row>
    <row r="173" spans="1:44" x14ac:dyDescent="0.3">
      <c r="A173" s="16"/>
      <c r="B173" s="16"/>
      <c r="C173" s="16"/>
      <c r="D173" s="16"/>
      <c r="E173" s="16"/>
      <c r="F173" s="16"/>
      <c r="G173" s="16"/>
      <c r="H173" s="20"/>
      <c r="I173" s="20"/>
      <c r="J173" s="16"/>
      <c r="K173" s="16"/>
      <c r="L173" s="16"/>
      <c r="M173" s="16"/>
      <c r="N173" s="16"/>
      <c r="O173" s="16"/>
      <c r="P173" s="16"/>
      <c r="Q173" s="23"/>
      <c r="R173" s="23"/>
      <c r="S173" s="16"/>
      <c r="T173" s="31"/>
      <c r="U173" s="29"/>
      <c r="V173" s="23"/>
      <c r="W173" s="23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</row>
    <row r="174" spans="1:44" x14ac:dyDescent="0.3">
      <c r="A174" s="16"/>
      <c r="B174" s="16"/>
      <c r="C174" s="16"/>
      <c r="D174" s="16"/>
      <c r="E174" s="16"/>
      <c r="F174" s="16"/>
      <c r="G174" s="16"/>
      <c r="H174" s="20"/>
      <c r="I174" s="20"/>
      <c r="J174" s="16"/>
      <c r="K174" s="16"/>
      <c r="L174" s="16"/>
      <c r="M174" s="16"/>
      <c r="N174" s="16"/>
      <c r="O174" s="16"/>
      <c r="P174" s="16"/>
      <c r="Q174" s="23"/>
      <c r="R174" s="23"/>
      <c r="S174" s="16"/>
      <c r="T174" s="31"/>
      <c r="U174" s="29"/>
      <c r="V174" s="23"/>
      <c r="W174" s="23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</row>
    <row r="175" spans="1:44" x14ac:dyDescent="0.3">
      <c r="A175" s="16"/>
      <c r="B175" s="16"/>
      <c r="C175" s="16"/>
      <c r="D175" s="16"/>
      <c r="E175" s="16"/>
      <c r="F175" s="16"/>
      <c r="G175" s="16"/>
      <c r="H175" s="20"/>
      <c r="I175" s="20"/>
      <c r="J175" s="16"/>
      <c r="K175" s="16"/>
      <c r="L175" s="16"/>
      <c r="M175" s="16"/>
      <c r="N175" s="16"/>
      <c r="O175" s="16"/>
      <c r="P175" s="16"/>
      <c r="Q175" s="23"/>
      <c r="R175" s="23"/>
      <c r="S175" s="16"/>
      <c r="T175" s="31"/>
      <c r="U175" s="29"/>
      <c r="V175" s="23"/>
      <c r="W175" s="23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</row>
    <row r="176" spans="1:44" x14ac:dyDescent="0.3">
      <c r="A176" s="16"/>
      <c r="B176" s="16"/>
      <c r="C176" s="16"/>
      <c r="D176" s="16"/>
      <c r="E176" s="16"/>
      <c r="F176" s="16"/>
      <c r="G176" s="16"/>
      <c r="H176" s="20"/>
      <c r="I176" s="20"/>
      <c r="J176" s="16"/>
      <c r="K176" s="16"/>
      <c r="L176" s="16"/>
      <c r="M176" s="16"/>
      <c r="N176" s="16"/>
      <c r="O176" s="16"/>
      <c r="P176" s="16"/>
      <c r="Q176" s="23"/>
      <c r="R176" s="23"/>
      <c r="S176" s="16"/>
      <c r="T176" s="31"/>
      <c r="U176" s="29"/>
      <c r="V176" s="23"/>
      <c r="W176" s="23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</row>
    <row r="177" spans="1:44" x14ac:dyDescent="0.3">
      <c r="A177" s="16"/>
      <c r="B177" s="16"/>
      <c r="C177" s="16"/>
      <c r="D177" s="16"/>
      <c r="E177" s="16"/>
      <c r="F177" s="16"/>
      <c r="G177" s="16"/>
      <c r="H177" s="20"/>
      <c r="I177" s="20"/>
      <c r="J177" s="16"/>
      <c r="K177" s="16"/>
      <c r="L177" s="16"/>
      <c r="M177" s="16"/>
      <c r="N177" s="16"/>
      <c r="O177" s="16"/>
      <c r="P177" s="16"/>
      <c r="Q177" s="23"/>
      <c r="R177" s="23"/>
      <c r="S177" s="16"/>
      <c r="T177" s="31"/>
      <c r="U177" s="29"/>
      <c r="V177" s="23"/>
      <c r="W177" s="23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</row>
    <row r="178" spans="1:44" x14ac:dyDescent="0.3">
      <c r="A178" s="16"/>
      <c r="B178" s="16"/>
      <c r="C178" s="16"/>
      <c r="D178" s="16"/>
      <c r="E178" s="16"/>
      <c r="F178" s="16"/>
      <c r="G178" s="16"/>
      <c r="H178" s="20"/>
      <c r="I178" s="20"/>
      <c r="J178" s="16"/>
      <c r="K178" s="16"/>
      <c r="L178" s="16"/>
      <c r="M178" s="16"/>
      <c r="N178" s="16"/>
      <c r="O178" s="16"/>
      <c r="P178" s="16"/>
      <c r="Q178" s="23"/>
      <c r="R178" s="23"/>
      <c r="S178" s="16"/>
      <c r="T178" s="31"/>
      <c r="U178" s="29"/>
      <c r="V178" s="23"/>
      <c r="W178" s="23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</row>
    <row r="179" spans="1:44" x14ac:dyDescent="0.3">
      <c r="A179" s="16"/>
      <c r="B179" s="16"/>
      <c r="C179" s="16"/>
      <c r="D179" s="16"/>
      <c r="E179" s="16"/>
      <c r="F179" s="16"/>
      <c r="G179" s="16"/>
      <c r="H179" s="20"/>
      <c r="I179" s="20"/>
      <c r="J179" s="16"/>
      <c r="K179" s="16"/>
      <c r="L179" s="16"/>
      <c r="M179" s="16"/>
      <c r="N179" s="16"/>
      <c r="O179" s="16"/>
      <c r="P179" s="16"/>
      <c r="Q179" s="23"/>
      <c r="R179" s="23"/>
      <c r="S179" s="16"/>
      <c r="T179" s="31"/>
      <c r="U179" s="29"/>
      <c r="V179" s="23"/>
      <c r="W179" s="23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</row>
    <row r="180" spans="1:44" x14ac:dyDescent="0.3">
      <c r="A180" s="16"/>
      <c r="B180" s="16"/>
      <c r="C180" s="16"/>
      <c r="D180" s="16"/>
      <c r="E180" s="16"/>
      <c r="F180" s="16"/>
      <c r="G180" s="16"/>
      <c r="H180" s="20"/>
      <c r="I180" s="20"/>
      <c r="J180" s="16"/>
      <c r="K180" s="16"/>
      <c r="L180" s="16"/>
      <c r="M180" s="16"/>
      <c r="N180" s="16"/>
      <c r="O180" s="16"/>
      <c r="P180" s="16"/>
      <c r="Q180" s="23"/>
      <c r="R180" s="23"/>
      <c r="S180" s="16"/>
      <c r="T180" s="31"/>
      <c r="U180" s="29"/>
      <c r="V180" s="23"/>
      <c r="W180" s="23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</row>
    <row r="181" spans="1:44" x14ac:dyDescent="0.3">
      <c r="A181" s="16"/>
      <c r="B181" s="16"/>
      <c r="C181" s="16"/>
      <c r="D181" s="16"/>
      <c r="E181" s="16"/>
      <c r="F181" s="16"/>
      <c r="G181" s="16"/>
      <c r="H181" s="20"/>
      <c r="I181" s="20"/>
      <c r="J181" s="16"/>
      <c r="K181" s="16"/>
      <c r="L181" s="16"/>
      <c r="M181" s="16"/>
      <c r="N181" s="16"/>
      <c r="O181" s="16"/>
      <c r="P181" s="16"/>
      <c r="Q181" s="23"/>
      <c r="R181" s="23"/>
      <c r="S181" s="16"/>
      <c r="T181" s="31"/>
      <c r="U181" s="29"/>
      <c r="V181" s="23"/>
      <c r="W181" s="23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</row>
    <row r="182" spans="1:44" x14ac:dyDescent="0.3">
      <c r="A182" s="16"/>
      <c r="B182" s="16"/>
      <c r="C182" s="16"/>
      <c r="D182" s="16"/>
      <c r="E182" s="16"/>
      <c r="F182" s="16"/>
      <c r="G182" s="16"/>
      <c r="H182" s="20"/>
      <c r="I182" s="20"/>
      <c r="J182" s="16"/>
      <c r="K182" s="16"/>
      <c r="L182" s="16"/>
      <c r="M182" s="16"/>
      <c r="N182" s="16"/>
      <c r="O182" s="16"/>
      <c r="P182" s="16"/>
      <c r="Q182" s="23"/>
      <c r="R182" s="23"/>
      <c r="S182" s="16"/>
      <c r="T182" s="31"/>
      <c r="U182" s="29"/>
      <c r="V182" s="23"/>
      <c r="W182" s="23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</row>
    <row r="183" spans="1:44" x14ac:dyDescent="0.3">
      <c r="A183" s="16"/>
      <c r="B183" s="16"/>
      <c r="C183" s="16"/>
      <c r="D183" s="16"/>
      <c r="E183" s="16"/>
      <c r="F183" s="16"/>
      <c r="G183" s="16"/>
      <c r="H183" s="20"/>
      <c r="I183" s="20"/>
      <c r="J183" s="16"/>
      <c r="K183" s="16"/>
      <c r="L183" s="16"/>
      <c r="M183" s="16"/>
      <c r="N183" s="16"/>
      <c r="O183" s="16"/>
      <c r="P183" s="16"/>
      <c r="Q183" s="23"/>
      <c r="R183" s="23"/>
      <c r="S183" s="16"/>
      <c r="T183" s="31"/>
      <c r="U183" s="29"/>
      <c r="V183" s="23"/>
      <c r="W183" s="23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</row>
    <row r="184" spans="1:44" x14ac:dyDescent="0.3">
      <c r="A184" s="16"/>
      <c r="B184" s="16"/>
      <c r="C184" s="16"/>
      <c r="D184" s="16"/>
      <c r="E184" s="16"/>
      <c r="F184" s="16"/>
      <c r="G184" s="16"/>
      <c r="H184" s="20"/>
      <c r="I184" s="20"/>
      <c r="J184" s="16"/>
      <c r="K184" s="16"/>
      <c r="L184" s="16"/>
      <c r="M184" s="16"/>
      <c r="N184" s="16"/>
      <c r="O184" s="16"/>
      <c r="P184" s="16"/>
      <c r="Q184" s="23"/>
      <c r="R184" s="23"/>
      <c r="S184" s="16"/>
      <c r="T184" s="31"/>
      <c r="U184" s="29"/>
      <c r="V184" s="23"/>
      <c r="W184" s="23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</row>
    <row r="185" spans="1:44" x14ac:dyDescent="0.3">
      <c r="A185" s="16"/>
      <c r="B185" s="16"/>
      <c r="C185" s="16"/>
      <c r="D185" s="16"/>
      <c r="E185" s="16"/>
      <c r="F185" s="16"/>
      <c r="G185" s="16"/>
      <c r="H185" s="20"/>
      <c r="I185" s="20"/>
      <c r="J185" s="16"/>
      <c r="K185" s="16"/>
      <c r="L185" s="16"/>
      <c r="M185" s="16"/>
      <c r="N185" s="16"/>
      <c r="O185" s="16"/>
      <c r="P185" s="16"/>
      <c r="Q185" s="23"/>
      <c r="R185" s="23"/>
      <c r="S185" s="16"/>
      <c r="T185" s="31"/>
      <c r="U185" s="29"/>
      <c r="V185" s="23"/>
      <c r="W185" s="23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</row>
    <row r="186" spans="1:44" x14ac:dyDescent="0.3">
      <c r="A186" s="16"/>
      <c r="B186" s="16"/>
      <c r="C186" s="16"/>
      <c r="D186" s="16"/>
      <c r="E186" s="16"/>
      <c r="F186" s="16"/>
      <c r="G186" s="16"/>
      <c r="H186" s="20"/>
      <c r="I186" s="20"/>
      <c r="J186" s="16"/>
      <c r="K186" s="16"/>
      <c r="L186" s="16"/>
      <c r="M186" s="16"/>
      <c r="N186" s="16"/>
      <c r="O186" s="16"/>
      <c r="P186" s="16"/>
      <c r="Q186" s="23"/>
      <c r="R186" s="23"/>
      <c r="S186" s="16"/>
      <c r="T186" s="31"/>
      <c r="U186" s="29"/>
      <c r="V186" s="23"/>
      <c r="W186" s="23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</row>
    <row r="187" spans="1:44" x14ac:dyDescent="0.3">
      <c r="A187" s="16"/>
      <c r="B187" s="16"/>
      <c r="C187" s="16"/>
      <c r="D187" s="16"/>
      <c r="E187" s="16"/>
      <c r="F187" s="16"/>
      <c r="G187" s="16"/>
      <c r="H187" s="20"/>
      <c r="I187" s="20"/>
      <c r="J187" s="16"/>
      <c r="K187" s="16"/>
      <c r="L187" s="16"/>
      <c r="M187" s="16"/>
      <c r="N187" s="16"/>
      <c r="O187" s="16"/>
      <c r="P187" s="16"/>
      <c r="Q187" s="23"/>
      <c r="R187" s="23"/>
      <c r="S187" s="16"/>
      <c r="T187" s="31"/>
      <c r="U187" s="29"/>
      <c r="V187" s="23"/>
      <c r="W187" s="23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</row>
    <row r="188" spans="1:44" x14ac:dyDescent="0.3">
      <c r="A188" s="16"/>
      <c r="B188" s="16"/>
      <c r="C188" s="16"/>
      <c r="D188" s="16"/>
      <c r="E188" s="16"/>
      <c r="F188" s="16"/>
      <c r="G188" s="16"/>
      <c r="H188" s="20"/>
      <c r="I188" s="20"/>
      <c r="J188" s="16"/>
      <c r="K188" s="16"/>
      <c r="L188" s="16"/>
      <c r="M188" s="16"/>
      <c r="N188" s="16"/>
      <c r="O188" s="16"/>
      <c r="P188" s="16"/>
      <c r="Q188" s="23"/>
      <c r="R188" s="23"/>
      <c r="S188" s="16"/>
      <c r="T188" s="31"/>
      <c r="U188" s="29"/>
      <c r="V188" s="23"/>
      <c r="W188" s="23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</row>
    <row r="189" spans="1:44" x14ac:dyDescent="0.3">
      <c r="A189" s="16"/>
      <c r="B189" s="16"/>
      <c r="C189" s="16"/>
      <c r="D189" s="16"/>
      <c r="E189" s="16"/>
      <c r="F189" s="16"/>
      <c r="G189" s="16"/>
      <c r="H189" s="20"/>
      <c r="I189" s="20"/>
      <c r="J189" s="16"/>
      <c r="K189" s="16"/>
      <c r="L189" s="16"/>
      <c r="M189" s="16"/>
      <c r="N189" s="16"/>
      <c r="O189" s="16"/>
      <c r="P189" s="16"/>
      <c r="Q189" s="23"/>
      <c r="R189" s="23"/>
      <c r="S189" s="16"/>
      <c r="T189" s="31"/>
      <c r="U189" s="29"/>
      <c r="V189" s="23"/>
      <c r="W189" s="23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</row>
    <row r="190" spans="1:44" x14ac:dyDescent="0.3">
      <c r="A190" s="16"/>
      <c r="B190" s="16"/>
      <c r="C190" s="16"/>
      <c r="D190" s="16"/>
      <c r="E190" s="16"/>
      <c r="F190" s="16"/>
      <c r="G190" s="16"/>
      <c r="H190" s="20"/>
      <c r="I190" s="20"/>
      <c r="J190" s="16"/>
      <c r="K190" s="16"/>
      <c r="L190" s="16"/>
      <c r="M190" s="16"/>
      <c r="N190" s="16"/>
      <c r="O190" s="16"/>
      <c r="P190" s="16"/>
      <c r="Q190" s="23"/>
      <c r="R190" s="23"/>
      <c r="S190" s="16"/>
      <c r="T190" s="31"/>
      <c r="U190" s="29"/>
      <c r="V190" s="23"/>
      <c r="W190" s="23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</row>
    <row r="191" spans="1:44" x14ac:dyDescent="0.3">
      <c r="A191" s="16"/>
      <c r="B191" s="16"/>
      <c r="C191" s="16"/>
      <c r="D191" s="16"/>
      <c r="E191" s="16"/>
      <c r="F191" s="16"/>
      <c r="G191" s="16"/>
      <c r="H191" s="20"/>
      <c r="I191" s="20"/>
      <c r="J191" s="16"/>
      <c r="K191" s="16"/>
      <c r="L191" s="16"/>
      <c r="M191" s="16"/>
      <c r="N191" s="16"/>
      <c r="O191" s="16"/>
      <c r="P191" s="16"/>
      <c r="Q191" s="23"/>
      <c r="R191" s="23"/>
      <c r="S191" s="16"/>
      <c r="T191" s="31"/>
      <c r="U191" s="29"/>
      <c r="V191" s="23"/>
      <c r="W191" s="23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</row>
    <row r="192" spans="1:44" x14ac:dyDescent="0.3">
      <c r="A192" s="16"/>
      <c r="B192" s="16"/>
      <c r="C192" s="16"/>
      <c r="D192" s="16"/>
      <c r="E192" s="16"/>
      <c r="F192" s="16"/>
      <c r="G192" s="16"/>
      <c r="H192" s="20"/>
      <c r="I192" s="20"/>
      <c r="J192" s="16"/>
      <c r="K192" s="16"/>
      <c r="L192" s="16"/>
      <c r="M192" s="16"/>
      <c r="N192" s="16"/>
      <c r="O192" s="16"/>
      <c r="P192" s="16"/>
      <c r="Q192" s="23"/>
      <c r="R192" s="23"/>
      <c r="S192" s="16"/>
      <c r="T192" s="31"/>
      <c r="U192" s="29"/>
      <c r="V192" s="23"/>
      <c r="W192" s="23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</row>
    <row r="193" spans="1:44" x14ac:dyDescent="0.3">
      <c r="A193" s="16"/>
      <c r="B193" s="16"/>
      <c r="C193" s="16"/>
      <c r="D193" s="16"/>
      <c r="E193" s="16"/>
      <c r="F193" s="16"/>
      <c r="G193" s="16"/>
      <c r="H193" s="20"/>
      <c r="I193" s="20"/>
      <c r="J193" s="16"/>
      <c r="K193" s="16"/>
      <c r="L193" s="16"/>
      <c r="M193" s="16"/>
      <c r="N193" s="16"/>
      <c r="O193" s="16"/>
      <c r="P193" s="16"/>
      <c r="Q193" s="23"/>
      <c r="R193" s="23"/>
      <c r="S193" s="16"/>
      <c r="T193" s="31"/>
      <c r="U193" s="29"/>
      <c r="V193" s="23"/>
      <c r="W193" s="23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</row>
    <row r="194" spans="1:44" x14ac:dyDescent="0.3">
      <c r="A194" s="16"/>
      <c r="B194" s="16"/>
      <c r="C194" s="16"/>
      <c r="D194" s="16"/>
      <c r="E194" s="16"/>
      <c r="F194" s="16"/>
      <c r="G194" s="16"/>
      <c r="H194" s="20"/>
      <c r="I194" s="20"/>
      <c r="J194" s="16"/>
      <c r="K194" s="16"/>
      <c r="L194" s="16"/>
      <c r="M194" s="16"/>
      <c r="N194" s="16"/>
      <c r="O194" s="16"/>
      <c r="P194" s="16"/>
      <c r="Q194" s="23"/>
      <c r="R194" s="23"/>
      <c r="S194" s="16"/>
      <c r="T194" s="31"/>
      <c r="U194" s="29"/>
      <c r="V194" s="23"/>
      <c r="W194" s="23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</row>
    <row r="195" spans="1:44" x14ac:dyDescent="0.3">
      <c r="A195" s="16"/>
      <c r="B195" s="16"/>
      <c r="C195" s="16"/>
      <c r="D195" s="16"/>
      <c r="E195" s="16"/>
      <c r="F195" s="16"/>
      <c r="G195" s="16"/>
      <c r="H195" s="20"/>
      <c r="I195" s="20"/>
      <c r="J195" s="16"/>
      <c r="K195" s="16"/>
      <c r="L195" s="16"/>
      <c r="M195" s="16"/>
      <c r="N195" s="16"/>
      <c r="O195" s="16"/>
      <c r="P195" s="16"/>
      <c r="Q195" s="23"/>
      <c r="R195" s="23"/>
      <c r="S195" s="16"/>
      <c r="T195" s="31"/>
      <c r="U195" s="29"/>
      <c r="V195" s="23"/>
      <c r="W195" s="23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</row>
    <row r="196" spans="1:44" x14ac:dyDescent="0.3">
      <c r="A196" s="16"/>
      <c r="B196" s="16"/>
      <c r="C196" s="16"/>
      <c r="D196" s="16"/>
      <c r="E196" s="16"/>
      <c r="F196" s="16"/>
      <c r="G196" s="16"/>
      <c r="H196" s="20"/>
      <c r="I196" s="20"/>
      <c r="J196" s="16"/>
      <c r="K196" s="16"/>
      <c r="L196" s="16"/>
      <c r="M196" s="16"/>
      <c r="N196" s="16"/>
      <c r="O196" s="16"/>
      <c r="P196" s="16"/>
      <c r="Q196" s="23"/>
      <c r="R196" s="23"/>
      <c r="S196" s="16"/>
      <c r="T196" s="31"/>
      <c r="U196" s="29"/>
      <c r="V196" s="23"/>
      <c r="W196" s="23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</row>
    <row r="197" spans="1:44" x14ac:dyDescent="0.3">
      <c r="A197" s="16"/>
      <c r="B197" s="16"/>
      <c r="C197" s="16"/>
      <c r="D197" s="16"/>
      <c r="E197" s="16"/>
      <c r="F197" s="16"/>
      <c r="G197" s="16"/>
      <c r="H197" s="20"/>
      <c r="I197" s="20"/>
      <c r="J197" s="16"/>
      <c r="K197" s="16"/>
      <c r="L197" s="16"/>
      <c r="M197" s="16"/>
      <c r="N197" s="16"/>
      <c r="O197" s="16"/>
      <c r="P197" s="16"/>
      <c r="Q197" s="23"/>
      <c r="R197" s="23"/>
      <c r="S197" s="16"/>
      <c r="T197" s="31"/>
      <c r="U197" s="29"/>
      <c r="V197" s="23"/>
      <c r="W197" s="23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</row>
    <row r="198" spans="1:44" x14ac:dyDescent="0.3">
      <c r="A198" s="16"/>
      <c r="B198" s="16"/>
      <c r="C198" s="16"/>
      <c r="D198" s="16"/>
      <c r="E198" s="16"/>
      <c r="F198" s="16"/>
      <c r="G198" s="16"/>
      <c r="H198" s="20"/>
      <c r="I198" s="20"/>
      <c r="J198" s="16"/>
      <c r="K198" s="16"/>
      <c r="L198" s="16"/>
      <c r="M198" s="16"/>
      <c r="N198" s="16"/>
      <c r="O198" s="16"/>
      <c r="P198" s="16"/>
      <c r="Q198" s="23"/>
      <c r="R198" s="23"/>
      <c r="S198" s="16"/>
      <c r="T198" s="31"/>
      <c r="U198" s="29"/>
      <c r="V198" s="23"/>
      <c r="W198" s="23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</row>
    <row r="199" spans="1:44" x14ac:dyDescent="0.3">
      <c r="A199" s="16"/>
      <c r="B199" s="16"/>
      <c r="C199" s="16"/>
      <c r="D199" s="16"/>
      <c r="E199" s="16"/>
      <c r="F199" s="16"/>
      <c r="G199" s="16"/>
      <c r="H199" s="20"/>
      <c r="I199" s="20"/>
      <c r="J199" s="16"/>
      <c r="K199" s="16"/>
      <c r="L199" s="16"/>
      <c r="M199" s="16"/>
      <c r="N199" s="16"/>
      <c r="O199" s="16"/>
      <c r="P199" s="16"/>
      <c r="Q199" s="23"/>
      <c r="R199" s="23"/>
      <c r="S199" s="16"/>
      <c r="T199" s="31"/>
      <c r="U199" s="29"/>
      <c r="V199" s="23"/>
      <c r="W199" s="23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</row>
    <row r="200" spans="1:44" x14ac:dyDescent="0.3">
      <c r="A200" s="16"/>
      <c r="B200" s="16"/>
      <c r="C200" s="16"/>
      <c r="D200" s="16"/>
      <c r="E200" s="16"/>
      <c r="F200" s="16"/>
      <c r="G200" s="16"/>
      <c r="H200" s="20"/>
      <c r="I200" s="20"/>
      <c r="J200" s="16"/>
      <c r="K200" s="16"/>
      <c r="L200" s="16"/>
      <c r="M200" s="16"/>
      <c r="N200" s="16"/>
      <c r="O200" s="16"/>
      <c r="P200" s="16"/>
      <c r="Q200" s="23"/>
      <c r="R200" s="23"/>
      <c r="S200" s="16"/>
      <c r="T200" s="31"/>
      <c r="U200" s="29"/>
      <c r="V200" s="23"/>
      <c r="W200" s="23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</row>
    <row r="201" spans="1:44" x14ac:dyDescent="0.3">
      <c r="A201" s="16"/>
      <c r="B201" s="16"/>
      <c r="C201" s="16"/>
      <c r="D201" s="16"/>
      <c r="E201" s="16"/>
      <c r="F201" s="16"/>
      <c r="G201" s="16"/>
      <c r="H201" s="20"/>
      <c r="I201" s="20"/>
      <c r="J201" s="16"/>
      <c r="K201" s="16"/>
      <c r="L201" s="16"/>
      <c r="M201" s="16"/>
      <c r="N201" s="16"/>
      <c r="O201" s="16"/>
      <c r="P201" s="16"/>
      <c r="Q201" s="23"/>
      <c r="R201" s="23"/>
      <c r="S201" s="16"/>
      <c r="T201" s="31"/>
      <c r="U201" s="29"/>
      <c r="V201" s="23"/>
      <c r="W201" s="23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</row>
    <row r="202" spans="1:44" x14ac:dyDescent="0.3">
      <c r="A202" s="16"/>
      <c r="B202" s="16"/>
      <c r="C202" s="16"/>
      <c r="D202" s="16"/>
      <c r="E202" s="16"/>
      <c r="F202" s="16"/>
      <c r="G202" s="16"/>
      <c r="H202" s="20"/>
      <c r="I202" s="20"/>
      <c r="J202" s="16"/>
      <c r="K202" s="16"/>
      <c r="L202" s="16"/>
      <c r="M202" s="16"/>
      <c r="N202" s="16"/>
      <c r="O202" s="16"/>
      <c r="P202" s="16"/>
      <c r="Q202" s="23"/>
      <c r="R202" s="23"/>
      <c r="S202" s="16"/>
      <c r="T202" s="31"/>
      <c r="U202" s="29"/>
      <c r="V202" s="23"/>
      <c r="W202" s="23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</row>
    <row r="203" spans="1:44" x14ac:dyDescent="0.3">
      <c r="A203" s="16"/>
      <c r="B203" s="16"/>
      <c r="C203" s="16"/>
      <c r="D203" s="16"/>
      <c r="E203" s="16"/>
      <c r="F203" s="16"/>
      <c r="G203" s="16"/>
      <c r="H203" s="20"/>
      <c r="I203" s="20"/>
      <c r="J203" s="16"/>
      <c r="K203" s="16"/>
      <c r="L203" s="16"/>
      <c r="M203" s="16"/>
      <c r="N203" s="16"/>
      <c r="O203" s="16"/>
      <c r="P203" s="16"/>
      <c r="Q203" s="23"/>
      <c r="R203" s="23"/>
      <c r="S203" s="16"/>
      <c r="T203" s="31"/>
      <c r="U203" s="29"/>
      <c r="V203" s="23"/>
      <c r="W203" s="23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</row>
    <row r="204" spans="1:44" x14ac:dyDescent="0.3">
      <c r="A204" s="16"/>
      <c r="B204" s="16"/>
      <c r="C204" s="16"/>
      <c r="D204" s="16"/>
      <c r="E204" s="16"/>
      <c r="F204" s="16"/>
      <c r="G204" s="16"/>
      <c r="H204" s="20"/>
      <c r="I204" s="20"/>
      <c r="J204" s="16"/>
      <c r="K204" s="16"/>
      <c r="L204" s="16"/>
      <c r="M204" s="16"/>
      <c r="N204" s="16"/>
      <c r="O204" s="16"/>
      <c r="P204" s="16"/>
      <c r="Q204" s="23"/>
      <c r="R204" s="23"/>
      <c r="S204" s="16"/>
      <c r="T204" s="31"/>
      <c r="U204" s="29"/>
      <c r="V204" s="23"/>
      <c r="W204" s="23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</row>
    <row r="205" spans="1:44" x14ac:dyDescent="0.3">
      <c r="A205" s="16"/>
      <c r="B205" s="16"/>
      <c r="C205" s="16"/>
      <c r="D205" s="16"/>
      <c r="E205" s="16"/>
      <c r="F205" s="16"/>
      <c r="G205" s="16"/>
      <c r="H205" s="20"/>
      <c r="I205" s="20"/>
      <c r="J205" s="16"/>
      <c r="K205" s="16"/>
      <c r="L205" s="16"/>
      <c r="M205" s="16"/>
      <c r="N205" s="16"/>
      <c r="O205" s="16"/>
      <c r="P205" s="16"/>
      <c r="Q205" s="23"/>
      <c r="R205" s="23"/>
      <c r="S205" s="16"/>
      <c r="T205" s="31"/>
      <c r="U205" s="29"/>
      <c r="V205" s="23"/>
      <c r="W205" s="23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</row>
    <row r="206" spans="1:44" x14ac:dyDescent="0.3">
      <c r="A206" s="16"/>
      <c r="B206" s="16"/>
      <c r="C206" s="16"/>
      <c r="D206" s="16"/>
      <c r="E206" s="16"/>
      <c r="F206" s="16"/>
      <c r="G206" s="16"/>
      <c r="H206" s="20"/>
      <c r="I206" s="20"/>
      <c r="J206" s="16"/>
      <c r="K206" s="16"/>
      <c r="L206" s="16"/>
      <c r="M206" s="16"/>
      <c r="N206" s="16"/>
      <c r="O206" s="16"/>
      <c r="P206" s="16"/>
      <c r="Q206" s="23"/>
      <c r="R206" s="23"/>
      <c r="S206" s="16"/>
      <c r="T206" s="31"/>
      <c r="U206" s="29"/>
      <c r="V206" s="23"/>
      <c r="W206" s="23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</row>
    <row r="207" spans="1:44" x14ac:dyDescent="0.3">
      <c r="A207" s="16"/>
      <c r="B207" s="16"/>
      <c r="C207" s="16"/>
      <c r="D207" s="16"/>
      <c r="E207" s="16"/>
      <c r="F207" s="16"/>
      <c r="G207" s="16"/>
      <c r="H207" s="20"/>
      <c r="I207" s="20"/>
      <c r="J207" s="16"/>
      <c r="K207" s="16"/>
      <c r="L207" s="16"/>
      <c r="M207" s="16"/>
      <c r="N207" s="16"/>
      <c r="O207" s="16"/>
      <c r="P207" s="16"/>
      <c r="Q207" s="23"/>
      <c r="R207" s="23"/>
      <c r="S207" s="16"/>
      <c r="T207" s="31"/>
      <c r="U207" s="29"/>
      <c r="V207" s="23"/>
      <c r="W207" s="23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</row>
    <row r="208" spans="1:44" x14ac:dyDescent="0.3">
      <c r="A208" s="16"/>
      <c r="B208" s="16"/>
      <c r="C208" s="16"/>
      <c r="D208" s="16"/>
      <c r="E208" s="16"/>
      <c r="F208" s="16"/>
      <c r="G208" s="16"/>
      <c r="H208" s="20"/>
      <c r="I208" s="20"/>
      <c r="J208" s="16"/>
      <c r="K208" s="16"/>
      <c r="L208" s="16"/>
      <c r="M208" s="16"/>
      <c r="N208" s="16"/>
      <c r="O208" s="16"/>
      <c r="P208" s="16"/>
      <c r="Q208" s="23"/>
      <c r="R208" s="23"/>
      <c r="S208" s="16"/>
      <c r="T208" s="31"/>
      <c r="U208" s="29"/>
      <c r="V208" s="23"/>
      <c r="W208" s="23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</row>
    <row r="209" spans="1:44" x14ac:dyDescent="0.3">
      <c r="A209" s="16"/>
      <c r="B209" s="16"/>
      <c r="C209" s="16"/>
      <c r="D209" s="16"/>
      <c r="E209" s="16"/>
      <c r="F209" s="16"/>
      <c r="G209" s="16"/>
      <c r="H209" s="20"/>
      <c r="I209" s="20"/>
      <c r="J209" s="16"/>
      <c r="K209" s="16"/>
      <c r="L209" s="16"/>
      <c r="M209" s="16"/>
      <c r="N209" s="16"/>
      <c r="O209" s="16"/>
      <c r="P209" s="16"/>
      <c r="Q209" s="23"/>
      <c r="R209" s="23"/>
      <c r="S209" s="16"/>
      <c r="T209" s="31"/>
      <c r="U209" s="29"/>
      <c r="V209" s="23"/>
      <c r="W209" s="23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</row>
    <row r="210" spans="1:44" x14ac:dyDescent="0.3">
      <c r="A210" s="16"/>
      <c r="B210" s="16"/>
      <c r="C210" s="16"/>
      <c r="D210" s="16"/>
      <c r="E210" s="16"/>
      <c r="F210" s="16"/>
      <c r="G210" s="16"/>
      <c r="H210" s="20"/>
      <c r="I210" s="20"/>
      <c r="J210" s="16"/>
      <c r="K210" s="16"/>
      <c r="L210" s="16"/>
      <c r="M210" s="16"/>
      <c r="N210" s="16"/>
      <c r="O210" s="16"/>
      <c r="P210" s="16"/>
      <c r="Q210" s="23"/>
      <c r="R210" s="23"/>
      <c r="S210" s="16"/>
      <c r="T210" s="31"/>
      <c r="U210" s="29"/>
      <c r="V210" s="23"/>
      <c r="W210" s="23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</row>
    <row r="211" spans="1:44" x14ac:dyDescent="0.3">
      <c r="A211" s="16"/>
      <c r="B211" s="16"/>
      <c r="C211" s="16"/>
      <c r="D211" s="16"/>
      <c r="E211" s="16"/>
      <c r="F211" s="16"/>
      <c r="G211" s="16"/>
      <c r="H211" s="20"/>
      <c r="I211" s="20"/>
      <c r="J211" s="16"/>
      <c r="K211" s="16"/>
      <c r="L211" s="16"/>
      <c r="M211" s="16"/>
      <c r="N211" s="16"/>
      <c r="O211" s="16"/>
      <c r="P211" s="16"/>
      <c r="Q211" s="23"/>
      <c r="R211" s="23"/>
      <c r="S211" s="16"/>
      <c r="T211" s="31"/>
      <c r="U211" s="29"/>
      <c r="V211" s="23"/>
      <c r="W211" s="23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</row>
    <row r="212" spans="1:44" x14ac:dyDescent="0.3">
      <c r="A212" s="16"/>
      <c r="B212" s="16"/>
      <c r="C212" s="16"/>
      <c r="D212" s="16"/>
      <c r="E212" s="16"/>
      <c r="F212" s="16"/>
      <c r="G212" s="16"/>
      <c r="H212" s="20"/>
      <c r="I212" s="20"/>
      <c r="J212" s="16"/>
      <c r="K212" s="16"/>
      <c r="L212" s="16"/>
      <c r="M212" s="16"/>
      <c r="N212" s="16"/>
      <c r="O212" s="16"/>
      <c r="P212" s="16"/>
      <c r="Q212" s="23"/>
      <c r="R212" s="23"/>
      <c r="S212" s="16"/>
      <c r="T212" s="31"/>
      <c r="U212" s="29"/>
      <c r="V212" s="23"/>
      <c r="W212" s="23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</row>
    <row r="213" spans="1:44" x14ac:dyDescent="0.3">
      <c r="A213" s="16"/>
      <c r="B213" s="16"/>
      <c r="C213" s="16"/>
      <c r="D213" s="16"/>
      <c r="E213" s="16"/>
      <c r="F213" s="16"/>
      <c r="G213" s="16"/>
      <c r="H213" s="20"/>
      <c r="I213" s="20"/>
      <c r="J213" s="16"/>
      <c r="K213" s="16"/>
      <c r="L213" s="16"/>
      <c r="M213" s="16"/>
      <c r="N213" s="16"/>
      <c r="O213" s="16"/>
      <c r="P213" s="16"/>
      <c r="Q213" s="23"/>
      <c r="R213" s="23"/>
      <c r="S213" s="16"/>
      <c r="T213" s="31"/>
      <c r="U213" s="29"/>
      <c r="V213" s="23"/>
      <c r="W213" s="23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</row>
    <row r="214" spans="1:44" x14ac:dyDescent="0.3">
      <c r="A214" s="16"/>
      <c r="B214" s="16"/>
      <c r="C214" s="16"/>
      <c r="D214" s="16"/>
      <c r="E214" s="16"/>
      <c r="F214" s="16"/>
      <c r="G214" s="16"/>
      <c r="H214" s="20"/>
      <c r="I214" s="20"/>
      <c r="J214" s="16"/>
      <c r="K214" s="16"/>
      <c r="L214" s="16"/>
      <c r="M214" s="16"/>
      <c r="N214" s="16"/>
      <c r="O214" s="16"/>
      <c r="P214" s="16"/>
      <c r="Q214" s="23"/>
      <c r="R214" s="23"/>
      <c r="S214" s="16"/>
      <c r="T214" s="31"/>
      <c r="U214" s="29"/>
      <c r="V214" s="23"/>
      <c r="W214" s="23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</row>
    <row r="215" spans="1:44" x14ac:dyDescent="0.3">
      <c r="A215" s="16"/>
      <c r="B215" s="16"/>
      <c r="C215" s="16"/>
      <c r="D215" s="16"/>
      <c r="E215" s="16"/>
      <c r="F215" s="16"/>
      <c r="G215" s="16"/>
      <c r="H215" s="20"/>
      <c r="I215" s="20"/>
      <c r="J215" s="16"/>
      <c r="K215" s="16"/>
      <c r="L215" s="16"/>
      <c r="M215" s="16"/>
      <c r="N215" s="16"/>
      <c r="O215" s="16"/>
      <c r="P215" s="16"/>
      <c r="Q215" s="23"/>
      <c r="R215" s="23"/>
      <c r="S215" s="16"/>
      <c r="T215" s="31"/>
      <c r="U215" s="29"/>
      <c r="V215" s="23"/>
      <c r="W215" s="23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</row>
    <row r="216" spans="1:44" x14ac:dyDescent="0.3">
      <c r="A216" s="16"/>
      <c r="B216" s="16"/>
      <c r="C216" s="16"/>
      <c r="D216" s="16"/>
      <c r="E216" s="16"/>
      <c r="F216" s="16"/>
      <c r="G216" s="16"/>
      <c r="H216" s="20"/>
      <c r="I216" s="20"/>
      <c r="J216" s="16"/>
      <c r="K216" s="16"/>
      <c r="L216" s="16"/>
      <c r="M216" s="16"/>
      <c r="N216" s="16"/>
      <c r="O216" s="16"/>
      <c r="P216" s="16"/>
      <c r="Q216" s="23"/>
      <c r="R216" s="23"/>
      <c r="S216" s="16"/>
      <c r="T216" s="31"/>
      <c r="U216" s="29"/>
      <c r="V216" s="23"/>
      <c r="W216" s="23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</row>
    <row r="217" spans="1:44" x14ac:dyDescent="0.3">
      <c r="A217" s="16"/>
      <c r="B217" s="16"/>
      <c r="C217" s="16"/>
      <c r="D217" s="16"/>
      <c r="E217" s="16"/>
      <c r="F217" s="16"/>
      <c r="G217" s="16"/>
      <c r="H217" s="20"/>
      <c r="I217" s="20"/>
      <c r="J217" s="16"/>
      <c r="K217" s="16"/>
      <c r="L217" s="16"/>
      <c r="M217" s="16"/>
      <c r="N217" s="16"/>
      <c r="O217" s="16"/>
      <c r="P217" s="16"/>
      <c r="Q217" s="23"/>
      <c r="R217" s="23"/>
      <c r="S217" s="16"/>
      <c r="T217" s="31"/>
      <c r="U217" s="29"/>
      <c r="V217" s="23"/>
      <c r="W217" s="23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</row>
    <row r="218" spans="1:44" x14ac:dyDescent="0.3">
      <c r="A218" s="16"/>
      <c r="B218" s="16"/>
      <c r="C218" s="16"/>
      <c r="D218" s="16"/>
      <c r="E218" s="16"/>
      <c r="F218" s="16"/>
      <c r="G218" s="16"/>
      <c r="H218" s="20"/>
      <c r="I218" s="20"/>
      <c r="J218" s="16"/>
      <c r="K218" s="16"/>
      <c r="L218" s="16"/>
      <c r="M218" s="16"/>
      <c r="N218" s="16"/>
      <c r="O218" s="16"/>
      <c r="P218" s="16"/>
      <c r="Q218" s="23"/>
      <c r="R218" s="23"/>
      <c r="S218" s="16"/>
      <c r="T218" s="31"/>
      <c r="U218" s="29"/>
      <c r="V218" s="23"/>
      <c r="W218" s="23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</row>
    <row r="219" spans="1:44" x14ac:dyDescent="0.3">
      <c r="A219" s="16"/>
      <c r="B219" s="16"/>
      <c r="C219" s="16"/>
      <c r="D219" s="16"/>
      <c r="E219" s="16"/>
      <c r="F219" s="16"/>
      <c r="G219" s="16"/>
      <c r="H219" s="20"/>
      <c r="I219" s="20"/>
      <c r="J219" s="16"/>
      <c r="K219" s="16"/>
      <c r="L219" s="16"/>
      <c r="M219" s="16"/>
      <c r="N219" s="16"/>
      <c r="O219" s="16"/>
      <c r="P219" s="16"/>
      <c r="Q219" s="23"/>
      <c r="R219" s="23"/>
      <c r="S219" s="16"/>
      <c r="T219" s="31"/>
      <c r="U219" s="29"/>
      <c r="V219" s="23"/>
      <c r="W219" s="23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</row>
    <row r="220" spans="1:44" x14ac:dyDescent="0.3">
      <c r="A220" s="16"/>
      <c r="B220" s="16"/>
      <c r="C220" s="16"/>
      <c r="D220" s="16"/>
      <c r="E220" s="16"/>
      <c r="F220" s="16"/>
      <c r="G220" s="16"/>
      <c r="H220" s="20"/>
      <c r="I220" s="20"/>
      <c r="J220" s="16"/>
      <c r="K220" s="16"/>
      <c r="L220" s="16"/>
      <c r="M220" s="16"/>
      <c r="N220" s="16"/>
      <c r="O220" s="16"/>
      <c r="P220" s="16"/>
      <c r="Q220" s="23"/>
      <c r="R220" s="23"/>
      <c r="S220" s="16"/>
      <c r="T220" s="31"/>
      <c r="U220" s="29"/>
      <c r="V220" s="23"/>
      <c r="W220" s="23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</row>
    <row r="221" spans="1:44" x14ac:dyDescent="0.3">
      <c r="A221" s="16"/>
      <c r="B221" s="16"/>
      <c r="C221" s="16"/>
      <c r="D221" s="16"/>
      <c r="E221" s="16"/>
      <c r="F221" s="16"/>
      <c r="G221" s="16"/>
      <c r="H221" s="20"/>
      <c r="I221" s="20"/>
      <c r="J221" s="16"/>
      <c r="K221" s="16"/>
      <c r="L221" s="16"/>
      <c r="M221" s="16"/>
      <c r="N221" s="16"/>
      <c r="O221" s="16"/>
      <c r="P221" s="16"/>
      <c r="Q221" s="23"/>
      <c r="R221" s="23"/>
      <c r="S221" s="16"/>
      <c r="T221" s="31"/>
      <c r="U221" s="29"/>
      <c r="V221" s="23"/>
      <c r="W221" s="23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</row>
    <row r="222" spans="1:44" x14ac:dyDescent="0.3">
      <c r="A222" s="16"/>
      <c r="B222" s="16"/>
      <c r="C222" s="16"/>
      <c r="D222" s="16"/>
      <c r="E222" s="16"/>
      <c r="F222" s="16"/>
      <c r="G222" s="16"/>
      <c r="H222" s="20"/>
      <c r="I222" s="20"/>
      <c r="J222" s="16"/>
      <c r="K222" s="16"/>
      <c r="L222" s="16"/>
      <c r="M222" s="16"/>
      <c r="N222" s="16"/>
      <c r="O222" s="16"/>
      <c r="P222" s="16"/>
      <c r="Q222" s="23"/>
      <c r="R222" s="23"/>
      <c r="S222" s="16"/>
      <c r="T222" s="31"/>
      <c r="U222" s="29"/>
      <c r="V222" s="23"/>
      <c r="W222" s="23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</row>
    <row r="223" spans="1:44" x14ac:dyDescent="0.3">
      <c r="A223" s="16"/>
      <c r="B223" s="16"/>
      <c r="C223" s="16"/>
      <c r="D223" s="16"/>
      <c r="E223" s="16"/>
      <c r="F223" s="16"/>
      <c r="G223" s="16"/>
      <c r="H223" s="20"/>
      <c r="I223" s="20"/>
      <c r="J223" s="16"/>
      <c r="K223" s="16"/>
      <c r="L223" s="16"/>
      <c r="M223" s="16"/>
      <c r="N223" s="16"/>
      <c r="O223" s="16"/>
      <c r="P223" s="16"/>
      <c r="Q223" s="23"/>
      <c r="R223" s="23"/>
      <c r="S223" s="16"/>
      <c r="T223" s="31"/>
      <c r="U223" s="29"/>
      <c r="V223" s="23"/>
      <c r="W223" s="23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</row>
    <row r="224" spans="1:44" x14ac:dyDescent="0.3">
      <c r="A224" s="16"/>
      <c r="B224" s="16"/>
      <c r="C224" s="16"/>
      <c r="D224" s="16"/>
      <c r="E224" s="16"/>
      <c r="F224" s="16"/>
      <c r="G224" s="16"/>
      <c r="H224" s="20"/>
      <c r="I224" s="20"/>
      <c r="J224" s="16"/>
      <c r="K224" s="16"/>
      <c r="L224" s="16"/>
      <c r="M224" s="16"/>
      <c r="N224" s="16"/>
      <c r="O224" s="16"/>
      <c r="P224" s="16"/>
      <c r="Q224" s="23"/>
      <c r="R224" s="23"/>
      <c r="S224" s="16"/>
      <c r="T224" s="31"/>
      <c r="U224" s="29"/>
      <c r="V224" s="23"/>
      <c r="W224" s="23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</row>
    <row r="225" spans="1:44" x14ac:dyDescent="0.3">
      <c r="A225" s="16"/>
      <c r="B225" s="16"/>
      <c r="C225" s="16"/>
      <c r="D225" s="16"/>
      <c r="E225" s="16"/>
      <c r="F225" s="16"/>
      <c r="G225" s="16"/>
      <c r="H225" s="20"/>
      <c r="I225" s="20"/>
      <c r="J225" s="16"/>
      <c r="K225" s="16"/>
      <c r="L225" s="16"/>
      <c r="M225" s="16"/>
      <c r="N225" s="16"/>
      <c r="O225" s="16"/>
      <c r="P225" s="16"/>
      <c r="Q225" s="23"/>
      <c r="R225" s="23"/>
      <c r="S225" s="16"/>
      <c r="T225" s="31"/>
      <c r="U225" s="29"/>
      <c r="V225" s="23"/>
      <c r="W225" s="23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</row>
    <row r="226" spans="1:44" x14ac:dyDescent="0.3">
      <c r="A226" s="16"/>
      <c r="B226" s="16"/>
      <c r="C226" s="16"/>
      <c r="D226" s="16"/>
      <c r="E226" s="16"/>
      <c r="F226" s="16"/>
      <c r="G226" s="16"/>
      <c r="H226" s="20"/>
      <c r="I226" s="20"/>
      <c r="J226" s="16"/>
      <c r="K226" s="16"/>
      <c r="L226" s="16"/>
      <c r="M226" s="16"/>
      <c r="N226" s="16"/>
      <c r="O226" s="16"/>
      <c r="P226" s="16"/>
      <c r="Q226" s="23"/>
      <c r="R226" s="23"/>
      <c r="S226" s="16"/>
      <c r="T226" s="31"/>
      <c r="U226" s="29"/>
      <c r="V226" s="23"/>
      <c r="W226" s="23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</row>
    <row r="227" spans="1:44" x14ac:dyDescent="0.3">
      <c r="A227" s="16"/>
      <c r="B227" s="16"/>
      <c r="C227" s="16"/>
      <c r="D227" s="16"/>
      <c r="E227" s="16"/>
      <c r="F227" s="16"/>
      <c r="G227" s="16"/>
      <c r="H227" s="20"/>
      <c r="I227" s="20"/>
      <c r="J227" s="16"/>
      <c r="K227" s="16"/>
      <c r="L227" s="16"/>
      <c r="M227" s="16"/>
      <c r="N227" s="16"/>
      <c r="O227" s="16"/>
      <c r="P227" s="16"/>
      <c r="Q227" s="23"/>
      <c r="R227" s="23"/>
      <c r="S227" s="16"/>
      <c r="T227" s="31"/>
      <c r="U227" s="29"/>
      <c r="V227" s="23"/>
      <c r="W227" s="23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</row>
    <row r="228" spans="1:44" x14ac:dyDescent="0.3">
      <c r="A228" s="16"/>
      <c r="B228" s="16"/>
      <c r="C228" s="16"/>
      <c r="D228" s="16"/>
      <c r="E228" s="16"/>
      <c r="F228" s="16"/>
      <c r="G228" s="16"/>
      <c r="H228" s="20"/>
      <c r="I228" s="20"/>
      <c r="J228" s="16"/>
      <c r="K228" s="16"/>
      <c r="L228" s="16"/>
      <c r="M228" s="16"/>
      <c r="N228" s="16"/>
      <c r="O228" s="16"/>
      <c r="P228" s="16"/>
      <c r="Q228" s="23"/>
      <c r="R228" s="23"/>
      <c r="S228" s="16"/>
      <c r="T228" s="31"/>
      <c r="U228" s="29"/>
      <c r="V228" s="23"/>
      <c r="W228" s="23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</row>
    <row r="229" spans="1:44" x14ac:dyDescent="0.3">
      <c r="A229" s="16"/>
      <c r="B229" s="16"/>
      <c r="C229" s="16"/>
      <c r="D229" s="16"/>
      <c r="E229" s="16"/>
      <c r="F229" s="16"/>
      <c r="G229" s="16"/>
      <c r="H229" s="20"/>
      <c r="I229" s="20"/>
      <c r="J229" s="16"/>
      <c r="K229" s="16"/>
      <c r="L229" s="16"/>
      <c r="M229" s="16"/>
      <c r="N229" s="16"/>
      <c r="O229" s="16"/>
      <c r="P229" s="16"/>
      <c r="Q229" s="23"/>
      <c r="R229" s="23"/>
      <c r="S229" s="16"/>
      <c r="T229" s="31"/>
      <c r="U229" s="29"/>
      <c r="V229" s="23"/>
      <c r="W229" s="23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</row>
    <row r="230" spans="1:44" x14ac:dyDescent="0.3">
      <c r="A230" s="16"/>
      <c r="B230" s="16"/>
      <c r="C230" s="16"/>
      <c r="D230" s="16"/>
      <c r="E230" s="16"/>
      <c r="F230" s="16"/>
      <c r="G230" s="16"/>
      <c r="H230" s="20"/>
      <c r="I230" s="20"/>
      <c r="J230" s="16"/>
      <c r="K230" s="16"/>
      <c r="L230" s="16"/>
      <c r="M230" s="16"/>
      <c r="N230" s="16"/>
      <c r="O230" s="16"/>
      <c r="P230" s="16"/>
      <c r="Q230" s="23"/>
      <c r="R230" s="23"/>
      <c r="S230" s="16"/>
      <c r="T230" s="31"/>
      <c r="U230" s="29"/>
      <c r="V230" s="23"/>
      <c r="W230" s="23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</row>
    <row r="231" spans="1:44" x14ac:dyDescent="0.3">
      <c r="A231" s="16"/>
      <c r="B231" s="16"/>
      <c r="C231" s="16"/>
      <c r="D231" s="16"/>
      <c r="E231" s="16"/>
      <c r="F231" s="16"/>
      <c r="G231" s="16"/>
      <c r="H231" s="20"/>
      <c r="I231" s="20"/>
      <c r="J231" s="16"/>
      <c r="K231" s="16"/>
      <c r="L231" s="16"/>
      <c r="M231" s="16"/>
      <c r="N231" s="16"/>
      <c r="O231" s="16"/>
      <c r="P231" s="16"/>
      <c r="Q231" s="23"/>
      <c r="R231" s="23"/>
      <c r="S231" s="16"/>
      <c r="T231" s="31"/>
      <c r="U231" s="29"/>
      <c r="V231" s="23"/>
      <c r="W231" s="23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</row>
    <row r="232" spans="1:44" x14ac:dyDescent="0.3">
      <c r="A232" s="16"/>
      <c r="B232" s="16"/>
      <c r="C232" s="16"/>
      <c r="D232" s="16"/>
      <c r="E232" s="16"/>
      <c r="F232" s="16"/>
      <c r="G232" s="16"/>
      <c r="H232" s="20"/>
      <c r="I232" s="20"/>
      <c r="J232" s="16"/>
      <c r="K232" s="16"/>
      <c r="L232" s="16"/>
      <c r="M232" s="16"/>
      <c r="N232" s="16"/>
      <c r="O232" s="16"/>
      <c r="P232" s="16"/>
      <c r="Q232" s="23"/>
      <c r="R232" s="23"/>
      <c r="S232" s="16"/>
      <c r="T232" s="31"/>
      <c r="U232" s="29"/>
      <c r="V232" s="23"/>
      <c r="W232" s="23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</row>
    <row r="233" spans="1:44" x14ac:dyDescent="0.3">
      <c r="A233" s="16"/>
      <c r="B233" s="16"/>
      <c r="C233" s="16"/>
      <c r="D233" s="16"/>
      <c r="E233" s="16"/>
      <c r="F233" s="16"/>
      <c r="G233" s="16"/>
      <c r="H233" s="20"/>
      <c r="I233" s="20"/>
      <c r="J233" s="16"/>
      <c r="K233" s="16"/>
      <c r="L233" s="16"/>
      <c r="M233" s="16"/>
      <c r="N233" s="16"/>
      <c r="O233" s="16"/>
      <c r="P233" s="16"/>
      <c r="Q233" s="23"/>
      <c r="R233" s="23"/>
      <c r="S233" s="16"/>
      <c r="T233" s="31"/>
      <c r="U233" s="29"/>
      <c r="V233" s="23"/>
      <c r="W233" s="23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</row>
    <row r="234" spans="1:44" x14ac:dyDescent="0.3">
      <c r="A234" s="16"/>
      <c r="B234" s="16"/>
      <c r="C234" s="16"/>
      <c r="D234" s="16"/>
      <c r="E234" s="16"/>
      <c r="F234" s="16"/>
      <c r="G234" s="16"/>
      <c r="H234" s="20"/>
      <c r="I234" s="20"/>
      <c r="J234" s="16"/>
      <c r="K234" s="16"/>
      <c r="L234" s="16"/>
      <c r="M234" s="16"/>
      <c r="N234" s="16"/>
      <c r="O234" s="16"/>
      <c r="P234" s="16"/>
      <c r="Q234" s="23"/>
      <c r="R234" s="23"/>
      <c r="S234" s="16"/>
      <c r="T234" s="31"/>
      <c r="U234" s="29"/>
      <c r="V234" s="23"/>
      <c r="W234" s="23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</row>
    <row r="235" spans="1:44" x14ac:dyDescent="0.3">
      <c r="A235" s="16"/>
      <c r="B235" s="16"/>
      <c r="C235" s="16"/>
      <c r="D235" s="16"/>
      <c r="E235" s="16"/>
      <c r="F235" s="16"/>
      <c r="G235" s="16"/>
      <c r="H235" s="20"/>
      <c r="I235" s="20"/>
      <c r="J235" s="16"/>
      <c r="K235" s="16"/>
      <c r="L235" s="16"/>
      <c r="M235" s="16"/>
      <c r="N235" s="16"/>
      <c r="O235" s="16"/>
      <c r="P235" s="16"/>
      <c r="Q235" s="23"/>
      <c r="R235" s="23"/>
      <c r="S235" s="16"/>
      <c r="T235" s="31"/>
      <c r="U235" s="29"/>
      <c r="V235" s="23"/>
      <c r="W235" s="23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</row>
    <row r="236" spans="1:44" x14ac:dyDescent="0.3">
      <c r="A236" s="16"/>
      <c r="B236" s="16"/>
      <c r="C236" s="16"/>
      <c r="D236" s="16"/>
      <c r="E236" s="16"/>
      <c r="F236" s="16"/>
      <c r="G236" s="16"/>
      <c r="H236" s="20"/>
      <c r="I236" s="20"/>
      <c r="J236" s="16"/>
      <c r="K236" s="16"/>
      <c r="L236" s="16"/>
      <c r="M236" s="16"/>
      <c r="N236" s="16"/>
      <c r="O236" s="16"/>
      <c r="P236" s="16"/>
      <c r="Q236" s="23"/>
      <c r="R236" s="23"/>
      <c r="S236" s="16"/>
      <c r="T236" s="31"/>
      <c r="U236" s="29"/>
      <c r="V236" s="23"/>
      <c r="W236" s="23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</row>
    <row r="237" spans="1:44" x14ac:dyDescent="0.3">
      <c r="A237" s="16"/>
      <c r="B237" s="16"/>
      <c r="C237" s="16"/>
      <c r="D237" s="16"/>
      <c r="E237" s="16"/>
      <c r="F237" s="16"/>
      <c r="G237" s="16"/>
      <c r="H237" s="20"/>
      <c r="I237" s="20"/>
      <c r="J237" s="16"/>
      <c r="K237" s="16"/>
      <c r="L237" s="16"/>
      <c r="M237" s="16"/>
      <c r="N237" s="16"/>
      <c r="O237" s="16"/>
      <c r="P237" s="16"/>
      <c r="Q237" s="23"/>
      <c r="R237" s="23"/>
      <c r="S237" s="16"/>
      <c r="T237" s="31"/>
      <c r="U237" s="29"/>
      <c r="V237" s="23"/>
      <c r="W237" s="23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</row>
    <row r="238" spans="1:44" x14ac:dyDescent="0.3">
      <c r="A238" s="16"/>
      <c r="B238" s="16"/>
      <c r="C238" s="16"/>
      <c r="D238" s="16"/>
      <c r="E238" s="16"/>
      <c r="F238" s="16"/>
      <c r="G238" s="16"/>
      <c r="H238" s="20"/>
      <c r="I238" s="20"/>
      <c r="J238" s="16"/>
      <c r="K238" s="16"/>
      <c r="L238" s="16"/>
      <c r="M238" s="16"/>
      <c r="N238" s="16"/>
      <c r="O238" s="16"/>
      <c r="P238" s="16"/>
      <c r="Q238" s="23"/>
      <c r="R238" s="23"/>
      <c r="S238" s="16"/>
      <c r="T238" s="31"/>
      <c r="U238" s="29"/>
      <c r="V238" s="23"/>
      <c r="W238" s="23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</row>
    <row r="239" spans="1:44" x14ac:dyDescent="0.3">
      <c r="A239" s="16"/>
      <c r="B239" s="16"/>
      <c r="C239" s="16"/>
      <c r="D239" s="16"/>
      <c r="E239" s="16"/>
      <c r="F239" s="16"/>
      <c r="G239" s="16"/>
      <c r="H239" s="20"/>
      <c r="I239" s="20"/>
      <c r="J239" s="16"/>
      <c r="K239" s="16"/>
      <c r="L239" s="16"/>
      <c r="M239" s="16"/>
      <c r="N239" s="16"/>
      <c r="O239" s="16"/>
      <c r="P239" s="16"/>
      <c r="Q239" s="23"/>
      <c r="R239" s="23"/>
      <c r="S239" s="16"/>
      <c r="T239" s="31"/>
      <c r="U239" s="29"/>
      <c r="V239" s="23"/>
      <c r="W239" s="23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</row>
    <row r="240" spans="1:44" x14ac:dyDescent="0.3">
      <c r="A240" s="16"/>
      <c r="B240" s="16"/>
      <c r="C240" s="16"/>
      <c r="D240" s="16"/>
      <c r="E240" s="16"/>
      <c r="F240" s="16"/>
      <c r="G240" s="16"/>
      <c r="H240" s="20"/>
      <c r="I240" s="20"/>
      <c r="J240" s="16"/>
      <c r="K240" s="16"/>
      <c r="L240" s="16"/>
      <c r="M240" s="16"/>
      <c r="N240" s="16"/>
      <c r="O240" s="16"/>
      <c r="P240" s="16"/>
      <c r="Q240" s="23"/>
      <c r="R240" s="23"/>
      <c r="S240" s="16"/>
      <c r="T240" s="31"/>
      <c r="U240" s="29"/>
      <c r="V240" s="23"/>
      <c r="W240" s="23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</row>
    <row r="241" spans="1:44" x14ac:dyDescent="0.3">
      <c r="A241" s="16"/>
      <c r="B241" s="16"/>
      <c r="C241" s="16"/>
      <c r="D241" s="16"/>
      <c r="E241" s="16"/>
      <c r="F241" s="16"/>
      <c r="G241" s="16"/>
      <c r="H241" s="20"/>
      <c r="I241" s="20"/>
      <c r="J241" s="16"/>
      <c r="K241" s="16"/>
      <c r="L241" s="16"/>
      <c r="M241" s="16"/>
      <c r="N241" s="16"/>
      <c r="O241" s="16"/>
      <c r="P241" s="16"/>
      <c r="Q241" s="23"/>
      <c r="R241" s="23"/>
      <c r="S241" s="16"/>
      <c r="T241" s="31"/>
      <c r="U241" s="29"/>
      <c r="V241" s="23"/>
      <c r="W241" s="23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</row>
    <row r="242" spans="1:44" x14ac:dyDescent="0.3">
      <c r="A242" s="16"/>
      <c r="B242" s="16"/>
      <c r="C242" s="16"/>
      <c r="D242" s="16"/>
      <c r="E242" s="16"/>
      <c r="F242" s="16"/>
      <c r="G242" s="16"/>
      <c r="H242" s="20"/>
      <c r="I242" s="20"/>
      <c r="J242" s="16"/>
      <c r="K242" s="16"/>
      <c r="L242" s="16"/>
      <c r="M242" s="16"/>
      <c r="N242" s="16"/>
      <c r="O242" s="16"/>
      <c r="P242" s="16"/>
      <c r="Q242" s="23"/>
      <c r="R242" s="23"/>
      <c r="S242" s="16"/>
      <c r="T242" s="31"/>
      <c r="U242" s="29"/>
      <c r="V242" s="23"/>
      <c r="W242" s="23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</row>
    <row r="243" spans="1:44" x14ac:dyDescent="0.3">
      <c r="A243" s="16"/>
      <c r="B243" s="16"/>
      <c r="C243" s="16"/>
      <c r="D243" s="16"/>
      <c r="E243" s="16"/>
      <c r="F243" s="16"/>
      <c r="G243" s="16"/>
      <c r="H243" s="20"/>
      <c r="I243" s="20"/>
      <c r="J243" s="16"/>
      <c r="K243" s="16"/>
      <c r="L243" s="16"/>
      <c r="M243" s="16"/>
      <c r="N243" s="16"/>
      <c r="O243" s="16"/>
      <c r="P243" s="16"/>
      <c r="Q243" s="23"/>
      <c r="R243" s="23"/>
      <c r="S243" s="16"/>
      <c r="T243" s="31"/>
      <c r="U243" s="29"/>
      <c r="V243" s="23"/>
      <c r="W243" s="23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</row>
    <row r="244" spans="1:44" x14ac:dyDescent="0.3">
      <c r="A244" s="16"/>
      <c r="B244" s="16"/>
      <c r="C244" s="16"/>
      <c r="D244" s="16"/>
      <c r="E244" s="16"/>
      <c r="F244" s="16"/>
      <c r="G244" s="16"/>
      <c r="H244" s="20"/>
      <c r="I244" s="20"/>
      <c r="J244" s="16"/>
      <c r="K244" s="16"/>
      <c r="L244" s="16"/>
      <c r="M244" s="16"/>
      <c r="N244" s="16"/>
      <c r="O244" s="16"/>
      <c r="P244" s="16"/>
      <c r="Q244" s="23"/>
      <c r="R244" s="23"/>
      <c r="S244" s="16"/>
      <c r="T244" s="31"/>
      <c r="U244" s="29"/>
      <c r="V244" s="23"/>
      <c r="W244" s="23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</row>
    <row r="245" spans="1:44" x14ac:dyDescent="0.3">
      <c r="A245" s="16"/>
      <c r="B245" s="16"/>
      <c r="C245" s="16"/>
      <c r="D245" s="16"/>
      <c r="E245" s="16"/>
      <c r="F245" s="16"/>
      <c r="G245" s="16"/>
      <c r="H245" s="20"/>
      <c r="I245" s="20"/>
      <c r="J245" s="16"/>
      <c r="K245" s="16"/>
      <c r="L245" s="16"/>
      <c r="M245" s="16"/>
      <c r="N245" s="16"/>
      <c r="O245" s="16"/>
      <c r="P245" s="16"/>
      <c r="Q245" s="23"/>
      <c r="R245" s="23"/>
      <c r="S245" s="16"/>
      <c r="T245" s="31"/>
      <c r="U245" s="29"/>
      <c r="V245" s="23"/>
      <c r="W245" s="23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</row>
    <row r="246" spans="1:44" x14ac:dyDescent="0.3">
      <c r="A246" s="16"/>
      <c r="B246" s="16"/>
      <c r="C246" s="16"/>
      <c r="D246" s="16"/>
      <c r="E246" s="16"/>
      <c r="F246" s="16"/>
      <c r="G246" s="16"/>
      <c r="H246" s="20"/>
      <c r="I246" s="20"/>
      <c r="J246" s="16"/>
      <c r="K246" s="16"/>
      <c r="L246" s="16"/>
      <c r="M246" s="16"/>
      <c r="N246" s="16"/>
      <c r="O246" s="16"/>
      <c r="P246" s="16"/>
      <c r="Q246" s="23"/>
      <c r="R246" s="23"/>
      <c r="S246" s="16"/>
      <c r="T246" s="31"/>
      <c r="U246" s="29"/>
      <c r="V246" s="23"/>
      <c r="W246" s="23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</row>
    <row r="247" spans="1:44" x14ac:dyDescent="0.3">
      <c r="A247" s="16"/>
      <c r="B247" s="16"/>
      <c r="C247" s="16"/>
      <c r="D247" s="16"/>
      <c r="E247" s="16"/>
      <c r="F247" s="16"/>
      <c r="G247" s="16"/>
      <c r="H247" s="20"/>
      <c r="I247" s="20"/>
      <c r="J247" s="16"/>
      <c r="K247" s="16"/>
      <c r="L247" s="16"/>
      <c r="M247" s="16"/>
      <c r="N247" s="16"/>
      <c r="O247" s="16"/>
      <c r="P247" s="16"/>
      <c r="Q247" s="23"/>
      <c r="R247" s="23"/>
      <c r="S247" s="16"/>
      <c r="T247" s="31"/>
      <c r="U247" s="29"/>
      <c r="V247" s="23"/>
      <c r="W247" s="23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</row>
    <row r="248" spans="1:44" x14ac:dyDescent="0.3">
      <c r="A248" s="16"/>
      <c r="B248" s="16"/>
      <c r="C248" s="16"/>
      <c r="D248" s="16"/>
      <c r="E248" s="16"/>
      <c r="F248" s="16"/>
      <c r="G248" s="16"/>
      <c r="H248" s="20"/>
      <c r="I248" s="20"/>
      <c r="J248" s="16"/>
      <c r="K248" s="16"/>
      <c r="L248" s="16"/>
      <c r="M248" s="16"/>
      <c r="N248" s="16"/>
      <c r="O248" s="16"/>
      <c r="P248" s="16"/>
      <c r="Q248" s="23"/>
      <c r="R248" s="23"/>
      <c r="S248" s="16"/>
      <c r="T248" s="31"/>
      <c r="U248" s="29"/>
      <c r="V248" s="23"/>
      <c r="W248" s="23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</row>
    <row r="249" spans="1:44" x14ac:dyDescent="0.3">
      <c r="A249" s="16"/>
      <c r="B249" s="16"/>
      <c r="C249" s="16"/>
      <c r="D249" s="16"/>
      <c r="E249" s="16"/>
      <c r="F249" s="16"/>
      <c r="G249" s="16"/>
      <c r="H249" s="20"/>
      <c r="I249" s="20"/>
      <c r="J249" s="16"/>
      <c r="K249" s="16"/>
      <c r="L249" s="16"/>
      <c r="M249" s="16"/>
      <c r="N249" s="16"/>
      <c r="O249" s="16"/>
      <c r="P249" s="16"/>
      <c r="Q249" s="23"/>
      <c r="R249" s="23"/>
      <c r="S249" s="16"/>
      <c r="T249" s="31"/>
      <c r="U249" s="29"/>
      <c r="V249" s="23"/>
      <c r="W249" s="23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</row>
    <row r="250" spans="1:44" x14ac:dyDescent="0.3">
      <c r="A250" s="16"/>
      <c r="B250" s="16"/>
      <c r="C250" s="16"/>
      <c r="D250" s="16"/>
      <c r="E250" s="16"/>
      <c r="F250" s="16"/>
      <c r="G250" s="16"/>
      <c r="H250" s="20"/>
      <c r="I250" s="20"/>
      <c r="J250" s="16"/>
      <c r="K250" s="16"/>
      <c r="L250" s="16"/>
      <c r="M250" s="16"/>
      <c r="N250" s="16"/>
      <c r="O250" s="16"/>
      <c r="P250" s="16"/>
      <c r="Q250" s="23"/>
      <c r="R250" s="23"/>
      <c r="S250" s="16"/>
      <c r="T250" s="31"/>
      <c r="U250" s="29"/>
      <c r="V250" s="23"/>
      <c r="W250" s="23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</row>
    <row r="251" spans="1:44" x14ac:dyDescent="0.3">
      <c r="A251" s="16"/>
      <c r="B251" s="16"/>
      <c r="C251" s="16"/>
      <c r="D251" s="16"/>
      <c r="E251" s="16"/>
      <c r="F251" s="16"/>
      <c r="G251" s="16"/>
      <c r="H251" s="20"/>
      <c r="I251" s="20"/>
      <c r="J251" s="16"/>
      <c r="K251" s="16"/>
      <c r="L251" s="16"/>
      <c r="M251" s="16"/>
      <c r="N251" s="16"/>
      <c r="O251" s="16"/>
      <c r="P251" s="16"/>
      <c r="Q251" s="23"/>
      <c r="R251" s="23"/>
      <c r="S251" s="16"/>
      <c r="T251" s="31"/>
      <c r="U251" s="29"/>
      <c r="V251" s="23"/>
      <c r="W251" s="23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</row>
    <row r="252" spans="1:44" x14ac:dyDescent="0.3">
      <c r="A252" s="16"/>
      <c r="B252" s="16"/>
      <c r="C252" s="16"/>
      <c r="D252" s="16"/>
      <c r="E252" s="16"/>
      <c r="F252" s="16"/>
      <c r="G252" s="16"/>
      <c r="H252" s="20"/>
      <c r="I252" s="20"/>
      <c r="J252" s="16"/>
      <c r="K252" s="16"/>
      <c r="L252" s="16"/>
      <c r="M252" s="16"/>
      <c r="N252" s="16"/>
      <c r="O252" s="16"/>
      <c r="P252" s="16"/>
      <c r="Q252" s="23"/>
      <c r="R252" s="23"/>
      <c r="S252" s="16"/>
      <c r="T252" s="31"/>
      <c r="U252" s="29"/>
      <c r="V252" s="23"/>
      <c r="W252" s="23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</row>
    <row r="253" spans="1:44" x14ac:dyDescent="0.3">
      <c r="A253" s="16"/>
      <c r="B253" s="16"/>
      <c r="C253" s="16"/>
      <c r="D253" s="16"/>
      <c r="E253" s="16"/>
      <c r="F253" s="16"/>
      <c r="G253" s="16"/>
      <c r="H253" s="20"/>
      <c r="I253" s="20"/>
      <c r="J253" s="16"/>
      <c r="K253" s="16"/>
      <c r="L253" s="16"/>
      <c r="M253" s="16"/>
      <c r="N253" s="16"/>
      <c r="O253" s="16"/>
      <c r="P253" s="16"/>
      <c r="Q253" s="23"/>
      <c r="R253" s="23"/>
      <c r="S253" s="16"/>
      <c r="T253" s="31"/>
      <c r="U253" s="29"/>
      <c r="V253" s="23"/>
      <c r="W253" s="23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</row>
    <row r="254" spans="1:44" x14ac:dyDescent="0.3">
      <c r="A254" s="16"/>
      <c r="B254" s="16"/>
      <c r="C254" s="16"/>
      <c r="D254" s="16"/>
      <c r="E254" s="16"/>
      <c r="F254" s="16"/>
      <c r="G254" s="16"/>
      <c r="H254" s="20"/>
      <c r="I254" s="20"/>
      <c r="J254" s="16"/>
      <c r="K254" s="16"/>
      <c r="L254" s="16"/>
      <c r="M254" s="16"/>
      <c r="N254" s="16"/>
      <c r="O254" s="16"/>
      <c r="P254" s="16"/>
      <c r="Q254" s="23"/>
      <c r="R254" s="23"/>
      <c r="S254" s="16"/>
      <c r="T254" s="31"/>
      <c r="U254" s="29"/>
      <c r="V254" s="23"/>
      <c r="W254" s="23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</row>
    <row r="255" spans="1:44" x14ac:dyDescent="0.3">
      <c r="A255" s="16"/>
      <c r="B255" s="16"/>
      <c r="C255" s="16"/>
      <c r="D255" s="16"/>
      <c r="E255" s="16"/>
      <c r="F255" s="16"/>
      <c r="G255" s="16"/>
      <c r="H255" s="20"/>
      <c r="I255" s="20"/>
      <c r="J255" s="16"/>
      <c r="K255" s="16"/>
      <c r="L255" s="16"/>
      <c r="M255" s="16"/>
      <c r="N255" s="16"/>
      <c r="O255" s="16"/>
      <c r="P255" s="16"/>
      <c r="Q255" s="23"/>
      <c r="R255" s="23"/>
      <c r="S255" s="16"/>
      <c r="T255" s="31"/>
      <c r="U255" s="29"/>
      <c r="V255" s="23"/>
      <c r="W255" s="23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</row>
    <row r="256" spans="1:44" x14ac:dyDescent="0.3">
      <c r="A256" s="16"/>
      <c r="B256" s="16"/>
      <c r="C256" s="16"/>
      <c r="D256" s="16"/>
      <c r="E256" s="16"/>
      <c r="F256" s="16"/>
      <c r="G256" s="16"/>
      <c r="H256" s="20"/>
      <c r="I256" s="20"/>
      <c r="J256" s="16"/>
      <c r="K256" s="16"/>
      <c r="L256" s="16"/>
      <c r="M256" s="16"/>
      <c r="N256" s="16"/>
      <c r="O256" s="16"/>
      <c r="P256" s="16"/>
      <c r="Q256" s="23"/>
      <c r="R256" s="23"/>
      <c r="S256" s="16"/>
      <c r="T256" s="31"/>
      <c r="U256" s="29"/>
      <c r="V256" s="23"/>
      <c r="W256" s="23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</row>
    <row r="257" spans="1:44" x14ac:dyDescent="0.3">
      <c r="A257" s="16"/>
      <c r="B257" s="16"/>
      <c r="C257" s="16"/>
      <c r="D257" s="16"/>
      <c r="E257" s="16"/>
      <c r="F257" s="16"/>
      <c r="G257" s="16"/>
      <c r="H257" s="20"/>
      <c r="I257" s="20"/>
      <c r="J257" s="16"/>
      <c r="K257" s="16"/>
      <c r="L257" s="16"/>
      <c r="M257" s="16"/>
      <c r="N257" s="16"/>
      <c r="O257" s="16"/>
      <c r="P257" s="16"/>
      <c r="Q257" s="23"/>
      <c r="R257" s="23"/>
      <c r="S257" s="16"/>
      <c r="T257" s="31"/>
      <c r="U257" s="29"/>
      <c r="V257" s="23"/>
      <c r="W257" s="23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</row>
    <row r="258" spans="1:44" x14ac:dyDescent="0.3">
      <c r="A258" s="16"/>
      <c r="B258" s="16"/>
      <c r="C258" s="16"/>
      <c r="D258" s="16"/>
      <c r="E258" s="16"/>
      <c r="F258" s="16"/>
      <c r="G258" s="16"/>
      <c r="H258" s="20"/>
      <c r="I258" s="20"/>
      <c r="J258" s="16"/>
      <c r="K258" s="16"/>
      <c r="L258" s="16"/>
      <c r="M258" s="16"/>
      <c r="N258" s="16"/>
      <c r="O258" s="16"/>
      <c r="P258" s="16"/>
      <c r="Q258" s="23"/>
      <c r="R258" s="23"/>
      <c r="S258" s="16"/>
      <c r="T258" s="31"/>
      <c r="U258" s="29"/>
      <c r="V258" s="23"/>
      <c r="W258" s="23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</row>
    <row r="259" spans="1:44" x14ac:dyDescent="0.3">
      <c r="A259" s="16"/>
      <c r="B259" s="16"/>
      <c r="C259" s="16"/>
      <c r="D259" s="16"/>
      <c r="E259" s="16"/>
      <c r="F259" s="16"/>
      <c r="G259" s="16"/>
      <c r="H259" s="20"/>
      <c r="I259" s="20"/>
      <c r="J259" s="16"/>
      <c r="K259" s="16"/>
      <c r="L259" s="16"/>
      <c r="M259" s="16"/>
      <c r="N259" s="16"/>
      <c r="O259" s="16"/>
      <c r="P259" s="16"/>
      <c r="Q259" s="23"/>
      <c r="R259" s="23"/>
      <c r="S259" s="16"/>
      <c r="T259" s="31"/>
      <c r="U259" s="29"/>
      <c r="V259" s="23"/>
      <c r="W259" s="23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</row>
    <row r="260" spans="1:44" x14ac:dyDescent="0.3">
      <c r="A260" s="16"/>
      <c r="B260" s="16"/>
      <c r="C260" s="16"/>
      <c r="D260" s="16"/>
      <c r="E260" s="16"/>
      <c r="F260" s="16"/>
      <c r="G260" s="16"/>
      <c r="H260" s="20"/>
      <c r="I260" s="20"/>
      <c r="J260" s="16"/>
      <c r="K260" s="16"/>
      <c r="L260" s="16"/>
      <c r="M260" s="16"/>
      <c r="N260" s="16"/>
      <c r="O260" s="16"/>
      <c r="P260" s="16"/>
      <c r="Q260" s="23"/>
      <c r="R260" s="23"/>
      <c r="S260" s="16"/>
      <c r="T260" s="31"/>
      <c r="U260" s="29"/>
      <c r="V260" s="23"/>
      <c r="W260" s="23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</row>
    <row r="261" spans="1:44" x14ac:dyDescent="0.3">
      <c r="A261" s="16"/>
      <c r="B261" s="16"/>
      <c r="C261" s="16"/>
      <c r="D261" s="16"/>
      <c r="E261" s="16"/>
      <c r="F261" s="16"/>
      <c r="G261" s="16"/>
      <c r="H261" s="20"/>
      <c r="I261" s="20"/>
      <c r="J261" s="16"/>
      <c r="K261" s="16"/>
      <c r="L261" s="16"/>
      <c r="M261" s="16"/>
      <c r="N261" s="16"/>
      <c r="O261" s="16"/>
      <c r="P261" s="16"/>
      <c r="Q261" s="23"/>
      <c r="R261" s="23"/>
      <c r="S261" s="16"/>
      <c r="T261" s="31"/>
      <c r="U261" s="29"/>
      <c r="V261" s="23"/>
      <c r="W261" s="23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</row>
    <row r="262" spans="1:44" x14ac:dyDescent="0.3">
      <c r="A262" s="16"/>
      <c r="B262" s="16"/>
      <c r="C262" s="16"/>
      <c r="D262" s="16"/>
      <c r="E262" s="16"/>
      <c r="F262" s="16"/>
      <c r="G262" s="16"/>
      <c r="H262" s="20"/>
      <c r="I262" s="20"/>
      <c r="J262" s="16"/>
      <c r="K262" s="16"/>
      <c r="L262" s="16"/>
      <c r="M262" s="16"/>
      <c r="N262" s="16"/>
      <c r="O262" s="16"/>
      <c r="P262" s="16"/>
      <c r="Q262" s="23"/>
      <c r="R262" s="23"/>
      <c r="S262" s="16"/>
      <c r="T262" s="31"/>
      <c r="U262" s="29"/>
      <c r="V262" s="23"/>
      <c r="W262" s="23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</row>
    <row r="263" spans="1:44" x14ac:dyDescent="0.3">
      <c r="A263" s="16"/>
      <c r="B263" s="16"/>
      <c r="C263" s="16"/>
      <c r="D263" s="16"/>
      <c r="E263" s="16"/>
      <c r="F263" s="16"/>
      <c r="G263" s="16"/>
      <c r="H263" s="20"/>
      <c r="I263" s="20"/>
      <c r="J263" s="16"/>
      <c r="K263" s="16"/>
      <c r="L263" s="16"/>
      <c r="M263" s="16"/>
      <c r="N263" s="16"/>
      <c r="O263" s="16"/>
      <c r="P263" s="16"/>
      <c r="Q263" s="23"/>
      <c r="R263" s="23"/>
      <c r="S263" s="16"/>
      <c r="T263" s="31"/>
      <c r="U263" s="29"/>
      <c r="V263" s="23"/>
      <c r="W263" s="23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</row>
    <row r="264" spans="1:44" x14ac:dyDescent="0.3">
      <c r="A264" s="16"/>
      <c r="B264" s="16"/>
      <c r="C264" s="16"/>
      <c r="D264" s="16"/>
      <c r="E264" s="16"/>
      <c r="F264" s="16"/>
      <c r="G264" s="16"/>
      <c r="H264" s="20"/>
      <c r="I264" s="20"/>
      <c r="J264" s="16"/>
      <c r="K264" s="16"/>
      <c r="L264" s="16"/>
      <c r="M264" s="16"/>
      <c r="N264" s="16"/>
      <c r="O264" s="16"/>
      <c r="P264" s="16"/>
      <c r="Q264" s="23"/>
      <c r="R264" s="23"/>
      <c r="S264" s="16"/>
      <c r="T264" s="31"/>
      <c r="U264" s="29"/>
      <c r="V264" s="23"/>
      <c r="W264" s="23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</row>
    <row r="265" spans="1:44" x14ac:dyDescent="0.3">
      <c r="A265" s="16"/>
      <c r="B265" s="16"/>
      <c r="C265" s="16"/>
      <c r="D265" s="16"/>
      <c r="E265" s="16"/>
      <c r="F265" s="16"/>
      <c r="G265" s="16"/>
      <c r="H265" s="20"/>
      <c r="I265" s="20"/>
      <c r="J265" s="16"/>
      <c r="K265" s="16"/>
      <c r="L265" s="16"/>
      <c r="M265" s="16"/>
      <c r="N265" s="16"/>
      <c r="O265" s="16"/>
      <c r="P265" s="16"/>
      <c r="Q265" s="23"/>
      <c r="R265" s="23"/>
      <c r="S265" s="16"/>
      <c r="T265" s="31"/>
      <c r="U265" s="29"/>
      <c r="V265" s="23"/>
      <c r="W265" s="23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</row>
    <row r="266" spans="1:44" x14ac:dyDescent="0.3">
      <c r="A266" s="16"/>
      <c r="B266" s="16"/>
      <c r="C266" s="16"/>
      <c r="D266" s="16"/>
      <c r="E266" s="16"/>
      <c r="F266" s="16"/>
      <c r="G266" s="16"/>
      <c r="H266" s="20"/>
      <c r="I266" s="20"/>
      <c r="J266" s="16"/>
      <c r="K266" s="16"/>
      <c r="L266" s="16"/>
      <c r="M266" s="16"/>
      <c r="N266" s="16"/>
      <c r="O266" s="16"/>
      <c r="P266" s="16"/>
      <c r="Q266" s="23"/>
      <c r="R266" s="23"/>
      <c r="S266" s="16"/>
      <c r="T266" s="31"/>
      <c r="U266" s="29"/>
      <c r="V266" s="23"/>
      <c r="W266" s="23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</row>
    <row r="267" spans="1:44" x14ac:dyDescent="0.3">
      <c r="A267" s="16"/>
      <c r="B267" s="16"/>
      <c r="C267" s="16"/>
      <c r="D267" s="16"/>
      <c r="E267" s="16"/>
      <c r="F267" s="16"/>
      <c r="G267" s="16"/>
      <c r="H267" s="20"/>
      <c r="I267" s="20"/>
      <c r="J267" s="16"/>
      <c r="K267" s="16"/>
      <c r="L267" s="16"/>
      <c r="M267" s="16"/>
      <c r="N267" s="16"/>
      <c r="O267" s="16"/>
      <c r="P267" s="16"/>
      <c r="Q267" s="23"/>
      <c r="R267" s="23"/>
      <c r="S267" s="16"/>
      <c r="T267" s="31"/>
      <c r="U267" s="29"/>
      <c r="V267" s="23"/>
      <c r="W267" s="23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</row>
    <row r="268" spans="1:44" x14ac:dyDescent="0.3">
      <c r="A268" s="16"/>
      <c r="B268" s="16"/>
      <c r="C268" s="16"/>
      <c r="D268" s="16"/>
      <c r="E268" s="16"/>
      <c r="F268" s="16"/>
      <c r="G268" s="16"/>
      <c r="H268" s="20"/>
      <c r="I268" s="20"/>
      <c r="J268" s="16"/>
      <c r="K268" s="16"/>
      <c r="L268" s="16"/>
      <c r="M268" s="16"/>
      <c r="N268" s="16"/>
      <c r="O268" s="16"/>
      <c r="P268" s="16"/>
      <c r="Q268" s="23"/>
      <c r="R268" s="23"/>
      <c r="S268" s="16"/>
      <c r="T268" s="31"/>
      <c r="U268" s="29"/>
      <c r="V268" s="23"/>
      <c r="W268" s="23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</row>
    <row r="269" spans="1:44" x14ac:dyDescent="0.3">
      <c r="A269" s="16"/>
      <c r="B269" s="16"/>
      <c r="C269" s="16"/>
      <c r="D269" s="16"/>
      <c r="E269" s="16"/>
      <c r="F269" s="16"/>
      <c r="G269" s="16"/>
      <c r="H269" s="20"/>
      <c r="I269" s="20"/>
      <c r="J269" s="16"/>
      <c r="K269" s="16"/>
      <c r="L269" s="16"/>
      <c r="M269" s="16"/>
      <c r="N269" s="16"/>
      <c r="O269" s="16"/>
      <c r="P269" s="16"/>
      <c r="Q269" s="23"/>
      <c r="R269" s="23"/>
      <c r="S269" s="16"/>
      <c r="T269" s="31"/>
      <c r="U269" s="29"/>
      <c r="V269" s="23"/>
      <c r="W269" s="23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</row>
    <row r="270" spans="1:44" x14ac:dyDescent="0.3">
      <c r="A270" s="16"/>
      <c r="B270" s="16"/>
      <c r="C270" s="16"/>
      <c r="D270" s="16"/>
      <c r="E270" s="16"/>
      <c r="F270" s="16"/>
      <c r="G270" s="16"/>
      <c r="H270" s="20"/>
      <c r="I270" s="20"/>
      <c r="J270" s="16"/>
      <c r="K270" s="16"/>
      <c r="L270" s="16"/>
      <c r="M270" s="16"/>
      <c r="N270" s="16"/>
      <c r="O270" s="16"/>
      <c r="P270" s="16"/>
      <c r="Q270" s="23"/>
      <c r="R270" s="23"/>
      <c r="S270" s="16"/>
      <c r="T270" s="31"/>
      <c r="U270" s="29"/>
      <c r="V270" s="23"/>
      <c r="W270" s="23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</row>
    <row r="271" spans="1:44" x14ac:dyDescent="0.3">
      <c r="A271" s="16"/>
      <c r="B271" s="16"/>
      <c r="C271" s="16"/>
      <c r="D271" s="16"/>
      <c r="E271" s="16"/>
      <c r="F271" s="16"/>
      <c r="G271" s="16"/>
      <c r="H271" s="20"/>
      <c r="I271" s="20"/>
      <c r="J271" s="16"/>
      <c r="K271" s="16"/>
      <c r="L271" s="16"/>
      <c r="M271" s="16"/>
      <c r="N271" s="16"/>
      <c r="O271" s="16"/>
      <c r="P271" s="16"/>
      <c r="Q271" s="23"/>
      <c r="R271" s="23"/>
      <c r="S271" s="16"/>
      <c r="T271" s="31"/>
      <c r="U271" s="29"/>
      <c r="V271" s="23"/>
      <c r="W271" s="23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</row>
    <row r="272" spans="1:44" x14ac:dyDescent="0.3">
      <c r="A272" s="16"/>
      <c r="B272" s="16"/>
      <c r="C272" s="16"/>
      <c r="D272" s="16"/>
      <c r="E272" s="16"/>
      <c r="F272" s="16"/>
      <c r="G272" s="16"/>
      <c r="H272" s="20"/>
      <c r="I272" s="20"/>
      <c r="J272" s="16"/>
      <c r="K272" s="16"/>
      <c r="L272" s="16"/>
      <c r="M272" s="16"/>
      <c r="N272" s="16"/>
      <c r="O272" s="16"/>
      <c r="P272" s="16"/>
      <c r="Q272" s="23"/>
      <c r="R272" s="23"/>
      <c r="S272" s="16"/>
      <c r="T272" s="31"/>
      <c r="U272" s="29"/>
      <c r="V272" s="23"/>
      <c r="W272" s="23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</row>
    <row r="273" spans="1:44" x14ac:dyDescent="0.3">
      <c r="A273" s="16"/>
      <c r="B273" s="16"/>
      <c r="C273" s="16"/>
      <c r="D273" s="16"/>
      <c r="E273" s="16"/>
      <c r="F273" s="16"/>
      <c r="G273" s="16"/>
      <c r="H273" s="20"/>
      <c r="I273" s="20"/>
      <c r="J273" s="16"/>
      <c r="K273" s="16"/>
      <c r="L273" s="16"/>
      <c r="M273" s="16"/>
      <c r="N273" s="16"/>
      <c r="O273" s="16"/>
      <c r="P273" s="16"/>
      <c r="Q273" s="23"/>
      <c r="R273" s="23"/>
      <c r="S273" s="16"/>
      <c r="T273" s="31"/>
      <c r="U273" s="29"/>
      <c r="V273" s="23"/>
      <c r="W273" s="23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</row>
    <row r="274" spans="1:44" x14ac:dyDescent="0.3">
      <c r="A274" s="16"/>
      <c r="B274" s="16"/>
      <c r="C274" s="16"/>
      <c r="D274" s="16"/>
      <c r="E274" s="16"/>
      <c r="F274" s="16"/>
      <c r="G274" s="16"/>
      <c r="H274" s="20"/>
      <c r="I274" s="20"/>
      <c r="J274" s="16"/>
      <c r="K274" s="16"/>
      <c r="L274" s="16"/>
      <c r="M274" s="16"/>
      <c r="N274" s="16"/>
      <c r="O274" s="16"/>
      <c r="P274" s="16"/>
      <c r="Q274" s="23"/>
      <c r="R274" s="23"/>
      <c r="S274" s="16"/>
      <c r="T274" s="31"/>
      <c r="U274" s="29"/>
      <c r="V274" s="23"/>
      <c r="W274" s="23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</row>
    <row r="275" spans="1:44" x14ac:dyDescent="0.3">
      <c r="A275" s="16"/>
      <c r="B275" s="16"/>
      <c r="C275" s="16"/>
      <c r="D275" s="16"/>
      <c r="E275" s="16"/>
      <c r="F275" s="16"/>
      <c r="G275" s="16"/>
      <c r="H275" s="20"/>
      <c r="I275" s="20"/>
      <c r="J275" s="16"/>
      <c r="K275" s="16"/>
      <c r="L275" s="16"/>
      <c r="M275" s="16"/>
      <c r="N275" s="16"/>
      <c r="O275" s="16"/>
      <c r="P275" s="16"/>
      <c r="Q275" s="23"/>
      <c r="R275" s="23"/>
      <c r="S275" s="16"/>
      <c r="T275" s="31"/>
      <c r="U275" s="29"/>
      <c r="V275" s="23"/>
      <c r="W275" s="23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</row>
    <row r="276" spans="1:44" x14ac:dyDescent="0.3">
      <c r="A276" s="16"/>
      <c r="B276" s="16"/>
      <c r="C276" s="16"/>
      <c r="D276" s="16"/>
      <c r="E276" s="16"/>
      <c r="F276" s="16"/>
      <c r="G276" s="16"/>
      <c r="H276" s="20"/>
      <c r="I276" s="20"/>
      <c r="J276" s="16"/>
      <c r="K276" s="16"/>
      <c r="L276" s="16"/>
      <c r="M276" s="16"/>
      <c r="N276" s="16"/>
      <c r="O276" s="16"/>
      <c r="P276" s="16"/>
      <c r="Q276" s="23"/>
      <c r="R276" s="23"/>
      <c r="S276" s="16"/>
      <c r="T276" s="31"/>
      <c r="U276" s="29"/>
      <c r="V276" s="23"/>
      <c r="W276" s="23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</row>
    <row r="277" spans="1:44" x14ac:dyDescent="0.3">
      <c r="A277" s="16"/>
      <c r="B277" s="16"/>
      <c r="C277" s="16"/>
      <c r="D277" s="16"/>
      <c r="E277" s="16"/>
      <c r="F277" s="16"/>
      <c r="G277" s="16"/>
      <c r="H277" s="20"/>
      <c r="I277" s="20"/>
      <c r="J277" s="16"/>
      <c r="K277" s="16"/>
      <c r="L277" s="16"/>
      <c r="M277" s="16"/>
      <c r="N277" s="16"/>
      <c r="O277" s="16"/>
      <c r="P277" s="16"/>
      <c r="Q277" s="23"/>
      <c r="R277" s="23"/>
      <c r="S277" s="16"/>
      <c r="T277" s="31"/>
      <c r="U277" s="29"/>
      <c r="V277" s="23"/>
      <c r="W277" s="23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</row>
    <row r="278" spans="1:44" x14ac:dyDescent="0.3">
      <c r="A278" s="16"/>
      <c r="B278" s="16"/>
      <c r="C278" s="16"/>
      <c r="D278" s="16"/>
      <c r="E278" s="16"/>
      <c r="F278" s="16"/>
      <c r="G278" s="16"/>
      <c r="H278" s="20"/>
      <c r="I278" s="20"/>
      <c r="J278" s="16"/>
      <c r="K278" s="16"/>
      <c r="L278" s="16"/>
      <c r="M278" s="16"/>
      <c r="N278" s="16"/>
      <c r="O278" s="16"/>
      <c r="P278" s="16"/>
      <c r="Q278" s="23"/>
      <c r="R278" s="23"/>
      <c r="S278" s="16"/>
      <c r="T278" s="31"/>
      <c r="U278" s="29"/>
      <c r="V278" s="23"/>
      <c r="W278" s="23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</row>
    <row r="279" spans="1:44" x14ac:dyDescent="0.3">
      <c r="A279" s="16"/>
      <c r="B279" s="16"/>
      <c r="C279" s="16"/>
      <c r="D279" s="16"/>
      <c r="E279" s="16"/>
      <c r="F279" s="16"/>
      <c r="G279" s="16"/>
      <c r="H279" s="20"/>
      <c r="I279" s="20"/>
      <c r="J279" s="16"/>
      <c r="K279" s="16"/>
      <c r="L279" s="16"/>
      <c r="M279" s="16"/>
      <c r="N279" s="16"/>
      <c r="O279" s="16"/>
      <c r="P279" s="16"/>
      <c r="Q279" s="23"/>
      <c r="R279" s="23"/>
      <c r="S279" s="16"/>
      <c r="T279" s="31"/>
      <c r="U279" s="29"/>
      <c r="V279" s="23"/>
      <c r="W279" s="23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</row>
    <row r="280" spans="1:44" x14ac:dyDescent="0.3">
      <c r="A280" s="16"/>
      <c r="B280" s="16"/>
      <c r="C280" s="16"/>
      <c r="D280" s="16"/>
      <c r="E280" s="16"/>
      <c r="F280" s="16"/>
      <c r="G280" s="16"/>
      <c r="H280" s="20"/>
      <c r="I280" s="20"/>
      <c r="J280" s="16"/>
      <c r="K280" s="16"/>
      <c r="L280" s="16"/>
      <c r="M280" s="16"/>
      <c r="N280" s="16"/>
      <c r="O280" s="16"/>
      <c r="P280" s="16"/>
      <c r="Q280" s="23"/>
      <c r="R280" s="23"/>
      <c r="S280" s="16"/>
      <c r="T280" s="31"/>
      <c r="U280" s="29"/>
      <c r="V280" s="23"/>
      <c r="W280" s="23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</row>
    <row r="281" spans="1:44" x14ac:dyDescent="0.3">
      <c r="A281" s="16"/>
      <c r="B281" s="16"/>
      <c r="C281" s="16"/>
      <c r="D281" s="16"/>
      <c r="E281" s="16"/>
      <c r="F281" s="16"/>
      <c r="G281" s="16"/>
      <c r="H281" s="20"/>
      <c r="I281" s="20"/>
      <c r="J281" s="16"/>
      <c r="K281" s="16"/>
      <c r="L281" s="16"/>
      <c r="M281" s="16"/>
      <c r="N281" s="16"/>
      <c r="O281" s="16"/>
      <c r="P281" s="16"/>
      <c r="Q281" s="23"/>
      <c r="R281" s="23"/>
      <c r="S281" s="16"/>
      <c r="T281" s="31"/>
      <c r="U281" s="29"/>
      <c r="V281" s="23"/>
      <c r="W281" s="23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</row>
    <row r="282" spans="1:44" x14ac:dyDescent="0.3">
      <c r="A282" s="16"/>
      <c r="B282" s="16"/>
      <c r="C282" s="16"/>
      <c r="D282" s="16"/>
      <c r="E282" s="16"/>
      <c r="F282" s="16"/>
      <c r="G282" s="16"/>
      <c r="H282" s="20"/>
      <c r="I282" s="20"/>
      <c r="J282" s="16"/>
      <c r="K282" s="16"/>
      <c r="L282" s="16"/>
      <c r="M282" s="16"/>
      <c r="N282" s="16"/>
      <c r="O282" s="16"/>
      <c r="P282" s="16"/>
      <c r="Q282" s="23"/>
      <c r="R282" s="23"/>
      <c r="S282" s="16"/>
      <c r="T282" s="31"/>
      <c r="U282" s="29"/>
      <c r="V282" s="23"/>
      <c r="W282" s="23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</row>
    <row r="283" spans="1:44" x14ac:dyDescent="0.3">
      <c r="A283" s="16"/>
      <c r="B283" s="16"/>
      <c r="C283" s="16"/>
      <c r="D283" s="16"/>
      <c r="E283" s="16"/>
      <c r="F283" s="16"/>
      <c r="G283" s="16"/>
      <c r="H283" s="20"/>
      <c r="I283" s="20"/>
      <c r="J283" s="16"/>
      <c r="K283" s="16"/>
      <c r="L283" s="16"/>
      <c r="M283" s="16"/>
      <c r="N283" s="16"/>
      <c r="O283" s="16"/>
      <c r="P283" s="16"/>
      <c r="Q283" s="23"/>
      <c r="R283" s="23"/>
      <c r="S283" s="16"/>
      <c r="T283" s="31"/>
      <c r="U283" s="29"/>
      <c r="V283" s="23"/>
      <c r="W283" s="23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</row>
    <row r="284" spans="1:44" x14ac:dyDescent="0.3">
      <c r="A284" s="16"/>
      <c r="B284" s="16"/>
      <c r="C284" s="16"/>
      <c r="D284" s="16"/>
      <c r="E284" s="16"/>
      <c r="F284" s="16"/>
      <c r="G284" s="16"/>
      <c r="H284" s="20"/>
      <c r="I284" s="20"/>
      <c r="J284" s="16"/>
      <c r="K284" s="16"/>
      <c r="L284" s="16"/>
      <c r="M284" s="16"/>
      <c r="N284" s="16"/>
      <c r="O284" s="16"/>
      <c r="P284" s="16"/>
      <c r="Q284" s="23"/>
      <c r="R284" s="23"/>
      <c r="S284" s="16"/>
      <c r="T284" s="31"/>
      <c r="U284" s="29"/>
      <c r="V284" s="23"/>
      <c r="W284" s="23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</row>
    <row r="285" spans="1:44" x14ac:dyDescent="0.3">
      <c r="A285" s="16"/>
      <c r="B285" s="16"/>
      <c r="C285" s="16"/>
      <c r="D285" s="16"/>
      <c r="E285" s="16"/>
      <c r="F285" s="16"/>
      <c r="G285" s="16"/>
      <c r="H285" s="20"/>
      <c r="I285" s="20"/>
      <c r="J285" s="16"/>
      <c r="K285" s="16"/>
      <c r="L285" s="16"/>
      <c r="M285" s="16"/>
      <c r="N285" s="16"/>
      <c r="O285" s="16"/>
      <c r="P285" s="16"/>
      <c r="Q285" s="23"/>
      <c r="R285" s="23"/>
      <c r="S285" s="16"/>
      <c r="T285" s="31"/>
      <c r="U285" s="29"/>
      <c r="V285" s="23"/>
      <c r="W285" s="23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</row>
  </sheetData>
  <mergeCells count="475">
    <mergeCell ref="A6:A12"/>
    <mergeCell ref="A129:A131"/>
    <mergeCell ref="K62:K65"/>
    <mergeCell ref="C129:C131"/>
    <mergeCell ref="C62:C65"/>
    <mergeCell ref="E62:E65"/>
    <mergeCell ref="AK1:AR1"/>
    <mergeCell ref="B138:B139"/>
    <mergeCell ref="L71:L73"/>
    <mergeCell ref="D138:D139"/>
    <mergeCell ref="D132:D133"/>
    <mergeCell ref="F132:F133"/>
    <mergeCell ref="S94:S95"/>
    <mergeCell ref="C37:C38"/>
    <mergeCell ref="E37:E38"/>
    <mergeCell ref="U1:AE1"/>
    <mergeCell ref="N123:N125"/>
    <mergeCell ref="F71:F73"/>
    <mergeCell ref="E138:E139"/>
    <mergeCell ref="F142:F145"/>
    <mergeCell ref="D23:D25"/>
    <mergeCell ref="M6:M7"/>
    <mergeCell ref="O66:O68"/>
    <mergeCell ref="O53:O55"/>
    <mergeCell ref="J26:J29"/>
    <mergeCell ref="L26:L29"/>
    <mergeCell ref="O39:O41"/>
    <mergeCell ref="G135:G136"/>
    <mergeCell ref="A146:A148"/>
    <mergeCell ref="C146:C148"/>
    <mergeCell ref="S26:S29"/>
    <mergeCell ref="N39:N41"/>
    <mergeCell ref="M67:M68"/>
    <mergeCell ref="E132:E133"/>
    <mergeCell ref="K101:K103"/>
    <mergeCell ref="S108:S110"/>
    <mergeCell ref="D90:D93"/>
    <mergeCell ref="D71:D73"/>
    <mergeCell ref="B129:B131"/>
    <mergeCell ref="L62:L65"/>
    <mergeCell ref="D129:D131"/>
    <mergeCell ref="L49:L51"/>
    <mergeCell ref="N49:N51"/>
    <mergeCell ref="F96:F100"/>
    <mergeCell ref="F123:F125"/>
    <mergeCell ref="E94:E95"/>
    <mergeCell ref="L57:L59"/>
    <mergeCell ref="F53:F55"/>
    <mergeCell ref="F105:F106"/>
    <mergeCell ref="S111:S113"/>
    <mergeCell ref="A26:A29"/>
    <mergeCell ref="O46:O47"/>
    <mergeCell ref="X6:X12"/>
    <mergeCell ref="B90:B93"/>
    <mergeCell ref="F115:F117"/>
    <mergeCell ref="K111:K113"/>
    <mergeCell ref="N26:N27"/>
    <mergeCell ref="S83:S85"/>
    <mergeCell ref="S14:S15"/>
    <mergeCell ref="J34:J35"/>
    <mergeCell ref="K94:K95"/>
    <mergeCell ref="M94:M95"/>
    <mergeCell ref="B83:B85"/>
    <mergeCell ref="O32:O33"/>
    <mergeCell ref="D83:D85"/>
    <mergeCell ref="N42:N43"/>
    <mergeCell ref="L6:L7"/>
    <mergeCell ref="F46:F47"/>
    <mergeCell ref="K34:K35"/>
    <mergeCell ref="B6:B12"/>
    <mergeCell ref="E23:E25"/>
    <mergeCell ref="M26:M27"/>
    <mergeCell ref="J90:J93"/>
    <mergeCell ref="E87:E89"/>
    <mergeCell ref="J83:J85"/>
    <mergeCell ref="G87:G89"/>
    <mergeCell ref="A17:A22"/>
    <mergeCell ref="K17:K22"/>
    <mergeCell ref="G53:G55"/>
    <mergeCell ref="C17:C22"/>
    <mergeCell ref="B57:B59"/>
    <mergeCell ref="I53:I55"/>
    <mergeCell ref="D57:D59"/>
    <mergeCell ref="B26:B29"/>
    <mergeCell ref="D26:D29"/>
    <mergeCell ref="F23:F25"/>
    <mergeCell ref="A42:A43"/>
    <mergeCell ref="A142:A145"/>
    <mergeCell ref="B146:B148"/>
    <mergeCell ref="O129:O131"/>
    <mergeCell ref="D146:D148"/>
    <mergeCell ref="E140:E141"/>
    <mergeCell ref="A105:A106"/>
    <mergeCell ref="J66:J68"/>
    <mergeCell ref="O1:O2"/>
    <mergeCell ref="B123:B125"/>
    <mergeCell ref="N67:N68"/>
    <mergeCell ref="D32:D33"/>
    <mergeCell ref="D39:D41"/>
    <mergeCell ref="F39:F41"/>
    <mergeCell ref="E90:E93"/>
    <mergeCell ref="E71:E73"/>
    <mergeCell ref="G71:G73"/>
    <mergeCell ref="C101:C103"/>
    <mergeCell ref="O62:O65"/>
    <mergeCell ref="E96:E100"/>
    <mergeCell ref="O49:O51"/>
    <mergeCell ref="G96:G100"/>
    <mergeCell ref="J94:J95"/>
    <mergeCell ref="L94:L95"/>
    <mergeCell ref="I17:I22"/>
    <mergeCell ref="E146:E148"/>
    <mergeCell ref="K108:K110"/>
    <mergeCell ref="K83:K85"/>
    <mergeCell ref="C90:C93"/>
    <mergeCell ref="D49:D51"/>
    <mergeCell ref="C83:C85"/>
    <mergeCell ref="E83:E85"/>
    <mergeCell ref="M83:M85"/>
    <mergeCell ref="S77:S79"/>
    <mergeCell ref="M49:M51"/>
    <mergeCell ref="M71:M72"/>
    <mergeCell ref="J135:J136"/>
    <mergeCell ref="E135:E136"/>
    <mergeCell ref="N138:N139"/>
    <mergeCell ref="G142:G145"/>
    <mergeCell ref="I142:I145"/>
    <mergeCell ref="O138:O139"/>
    <mergeCell ref="J121:J122"/>
    <mergeCell ref="J146:J148"/>
    <mergeCell ref="L146:L148"/>
    <mergeCell ref="C123:C125"/>
    <mergeCell ref="O140:O141"/>
    <mergeCell ref="I87:I89"/>
    <mergeCell ref="X146:X148"/>
    <mergeCell ref="M146:M147"/>
    <mergeCell ref="K121:K122"/>
    <mergeCell ref="M121:M122"/>
    <mergeCell ref="O121:O122"/>
    <mergeCell ref="X90:X93"/>
    <mergeCell ref="O146:O148"/>
    <mergeCell ref="G49:G51"/>
    <mergeCell ref="J17:J22"/>
    <mergeCell ref="I26:I29"/>
    <mergeCell ref="K26:K29"/>
    <mergeCell ref="O123:O125"/>
    <mergeCell ref="J111:J113"/>
    <mergeCell ref="S132:S133"/>
    <mergeCell ref="G115:G117"/>
    <mergeCell ref="O26:O27"/>
    <mergeCell ref="O42:O43"/>
    <mergeCell ref="F140:F141"/>
    <mergeCell ref="B34:B35"/>
    <mergeCell ref="E129:E131"/>
    <mergeCell ref="E32:E33"/>
    <mergeCell ref="E39:E41"/>
    <mergeCell ref="G1:G2"/>
    <mergeCell ref="D42:D43"/>
    <mergeCell ref="I1:I2"/>
    <mergeCell ref="B101:B103"/>
    <mergeCell ref="D101:D103"/>
    <mergeCell ref="F101:F103"/>
    <mergeCell ref="C57:C59"/>
    <mergeCell ref="E57:E59"/>
    <mergeCell ref="C26:C29"/>
    <mergeCell ref="X101:X103"/>
    <mergeCell ref="C32:C33"/>
    <mergeCell ref="O6:O12"/>
    <mergeCell ref="S71:S73"/>
    <mergeCell ref="B111:B113"/>
    <mergeCell ref="J108:J110"/>
    <mergeCell ref="J142:J145"/>
    <mergeCell ref="D111:D113"/>
    <mergeCell ref="L83:L85"/>
    <mergeCell ref="G140:G141"/>
    <mergeCell ref="E49:E51"/>
    <mergeCell ref="I140:I141"/>
    <mergeCell ref="C34:C35"/>
    <mergeCell ref="B94:B95"/>
    <mergeCell ref="D94:D95"/>
    <mergeCell ref="S66:S68"/>
    <mergeCell ref="S105:S106"/>
    <mergeCell ref="C42:C43"/>
    <mergeCell ref="K77:K79"/>
    <mergeCell ref="E42:E43"/>
    <mergeCell ref="I135:I136"/>
    <mergeCell ref="K135:K136"/>
    <mergeCell ref="N46:N47"/>
    <mergeCell ref="B105:B106"/>
    <mergeCell ref="A1:A2"/>
    <mergeCell ref="H26:H27"/>
    <mergeCell ref="M142:M145"/>
    <mergeCell ref="J101:J103"/>
    <mergeCell ref="P1:T1"/>
    <mergeCell ref="G6:G12"/>
    <mergeCell ref="B108:B110"/>
    <mergeCell ref="C94:C95"/>
    <mergeCell ref="C121:C122"/>
    <mergeCell ref="B14:B15"/>
    <mergeCell ref="B17:B22"/>
    <mergeCell ref="D17:D22"/>
    <mergeCell ref="L77:L79"/>
    <mergeCell ref="F42:F43"/>
    <mergeCell ref="L39:L40"/>
    <mergeCell ref="K105:K106"/>
    <mergeCell ref="C105:C106"/>
    <mergeCell ref="E105:E106"/>
    <mergeCell ref="O101:O103"/>
    <mergeCell ref="K132:K133"/>
    <mergeCell ref="F37:F38"/>
    <mergeCell ref="D6:D12"/>
    <mergeCell ref="F6:F12"/>
    <mergeCell ref="F129:F131"/>
    <mergeCell ref="X17:X22"/>
    <mergeCell ref="B62:B65"/>
    <mergeCell ref="F32:F33"/>
    <mergeCell ref="K66:K68"/>
    <mergeCell ref="E17:E22"/>
    <mergeCell ref="K53:K55"/>
    <mergeCell ref="F57:F59"/>
    <mergeCell ref="M53:M55"/>
    <mergeCell ref="A77:A79"/>
    <mergeCell ref="O57:O59"/>
    <mergeCell ref="J23:J25"/>
    <mergeCell ref="N34:N35"/>
    <mergeCell ref="A66:A68"/>
    <mergeCell ref="S39:S41"/>
    <mergeCell ref="A34:A35"/>
    <mergeCell ref="K71:K73"/>
    <mergeCell ref="L67:L68"/>
    <mergeCell ref="M39:M40"/>
    <mergeCell ref="K23:K25"/>
    <mergeCell ref="F49:F51"/>
    <mergeCell ref="O71:O72"/>
    <mergeCell ref="B66:B68"/>
    <mergeCell ref="S23:S25"/>
    <mergeCell ref="A53:A55"/>
    <mergeCell ref="A14:A15"/>
    <mergeCell ref="F146:F148"/>
    <mergeCell ref="A87:A89"/>
    <mergeCell ref="J105:J106"/>
    <mergeCell ref="B77:B79"/>
    <mergeCell ref="D77:D79"/>
    <mergeCell ref="B135:B136"/>
    <mergeCell ref="O90:O93"/>
    <mergeCell ref="G90:G93"/>
    <mergeCell ref="I90:I93"/>
    <mergeCell ref="I71:I73"/>
    <mergeCell ref="A138:A139"/>
    <mergeCell ref="A132:A133"/>
    <mergeCell ref="G129:G131"/>
    <mergeCell ref="I96:I100"/>
    <mergeCell ref="K96:K100"/>
    <mergeCell ref="A135:A136"/>
    <mergeCell ref="C135:C136"/>
    <mergeCell ref="O111:O113"/>
    <mergeCell ref="D121:D122"/>
    <mergeCell ref="F121:F122"/>
    <mergeCell ref="J87:J89"/>
    <mergeCell ref="O94:O95"/>
    <mergeCell ref="F83:F85"/>
    <mergeCell ref="S140:S141"/>
    <mergeCell ref="O34:O35"/>
    <mergeCell ref="G146:G148"/>
    <mergeCell ref="N94:N95"/>
    <mergeCell ref="I146:I148"/>
    <mergeCell ref="B87:B89"/>
    <mergeCell ref="G83:G85"/>
    <mergeCell ref="D87:D89"/>
    <mergeCell ref="I83:I85"/>
    <mergeCell ref="S42:S43"/>
    <mergeCell ref="C108:C110"/>
    <mergeCell ref="C142:C145"/>
    <mergeCell ref="S62:S65"/>
    <mergeCell ref="S49:S51"/>
    <mergeCell ref="K142:K145"/>
    <mergeCell ref="J123:J125"/>
    <mergeCell ref="E101:E103"/>
    <mergeCell ref="L121:L122"/>
    <mergeCell ref="N121:N122"/>
    <mergeCell ref="K87:K89"/>
    <mergeCell ref="F138:F139"/>
    <mergeCell ref="D105:D106"/>
    <mergeCell ref="J132:J133"/>
    <mergeCell ref="C111:C113"/>
    <mergeCell ref="B142:B145"/>
    <mergeCell ref="D142:D145"/>
    <mergeCell ref="E26:E29"/>
    <mergeCell ref="J138:J139"/>
    <mergeCell ref="B23:B25"/>
    <mergeCell ref="X87:X89"/>
    <mergeCell ref="F66:F68"/>
    <mergeCell ref="I115:I117"/>
    <mergeCell ref="K37:K38"/>
    <mergeCell ref="D34:D35"/>
    <mergeCell ref="J140:J141"/>
    <mergeCell ref="F34:F35"/>
    <mergeCell ref="L140:L141"/>
    <mergeCell ref="C115:C117"/>
    <mergeCell ref="M34:M35"/>
    <mergeCell ref="E77:E79"/>
    <mergeCell ref="K39:K41"/>
    <mergeCell ref="J71:J73"/>
    <mergeCell ref="B132:B133"/>
    <mergeCell ref="J96:J100"/>
    <mergeCell ref="G62:G65"/>
    <mergeCell ref="I62:I65"/>
    <mergeCell ref="C96:C100"/>
    <mergeCell ref="J53:J55"/>
    <mergeCell ref="A23:A25"/>
    <mergeCell ref="K138:K139"/>
    <mergeCell ref="C23:C25"/>
    <mergeCell ref="F111:F113"/>
    <mergeCell ref="N108:N110"/>
    <mergeCell ref="A90:A93"/>
    <mergeCell ref="K140:K141"/>
    <mergeCell ref="C87:C89"/>
    <mergeCell ref="I49:I51"/>
    <mergeCell ref="M140:M141"/>
    <mergeCell ref="A96:A100"/>
    <mergeCell ref="K49:K51"/>
    <mergeCell ref="A123:A125"/>
    <mergeCell ref="F94:F95"/>
    <mergeCell ref="J32:J33"/>
    <mergeCell ref="A83:A85"/>
    <mergeCell ref="K42:K43"/>
    <mergeCell ref="A37:A38"/>
    <mergeCell ref="L53:L55"/>
    <mergeCell ref="G57:G59"/>
    <mergeCell ref="L34:L35"/>
    <mergeCell ref="I57:I59"/>
    <mergeCell ref="J77:J79"/>
    <mergeCell ref="N111:N113"/>
    <mergeCell ref="A32:A33"/>
    <mergeCell ref="A39:A41"/>
    <mergeCell ref="G101:G103"/>
    <mergeCell ref="I101:I103"/>
    <mergeCell ref="O108:O110"/>
    <mergeCell ref="B71:B73"/>
    <mergeCell ref="J62:J65"/>
    <mergeCell ref="J49:J51"/>
    <mergeCell ref="B96:B100"/>
    <mergeCell ref="D96:D100"/>
    <mergeCell ref="D66:D68"/>
    <mergeCell ref="B53:B55"/>
    <mergeCell ref="D53:D55"/>
    <mergeCell ref="A57:A59"/>
    <mergeCell ref="L46:L47"/>
    <mergeCell ref="A108:A110"/>
    <mergeCell ref="A115:A117"/>
    <mergeCell ref="O132:O133"/>
    <mergeCell ref="B46:B47"/>
    <mergeCell ref="D46:D47"/>
    <mergeCell ref="J115:J117"/>
    <mergeCell ref="E34:E35"/>
    <mergeCell ref="C77:C79"/>
    <mergeCell ref="J129:J131"/>
    <mergeCell ref="J39:J41"/>
    <mergeCell ref="L88:L89"/>
    <mergeCell ref="K115:K117"/>
    <mergeCell ref="E121:E122"/>
    <mergeCell ref="A111:A113"/>
    <mergeCell ref="E115:E117"/>
    <mergeCell ref="A121:A122"/>
    <mergeCell ref="O142:O145"/>
    <mergeCell ref="D115:D117"/>
    <mergeCell ref="X96:X100"/>
    <mergeCell ref="O83:O85"/>
    <mergeCell ref="D108:D110"/>
    <mergeCell ref="F108:F110"/>
    <mergeCell ref="C6:C12"/>
    <mergeCell ref="D14:D15"/>
    <mergeCell ref="L11:L12"/>
    <mergeCell ref="S32:S33"/>
    <mergeCell ref="F14:F15"/>
    <mergeCell ref="H49:H51"/>
    <mergeCell ref="J42:J43"/>
    <mergeCell ref="N135:N136"/>
    <mergeCell ref="X135:X136"/>
    <mergeCell ref="E142:E145"/>
    <mergeCell ref="O105:O106"/>
    <mergeCell ref="X142:X145"/>
    <mergeCell ref="S53:S55"/>
    <mergeCell ref="O17:O22"/>
    <mergeCell ref="S46:S47"/>
    <mergeCell ref="O135:O136"/>
    <mergeCell ref="F17:F22"/>
    <mergeCell ref="S138:S139"/>
    <mergeCell ref="A140:A141"/>
    <mergeCell ref="C140:C141"/>
    <mergeCell ref="D37:D38"/>
    <mergeCell ref="D62:D65"/>
    <mergeCell ref="F62:F65"/>
    <mergeCell ref="B32:B33"/>
    <mergeCell ref="B39:B41"/>
    <mergeCell ref="D1:D2"/>
    <mergeCell ref="F1:F2"/>
    <mergeCell ref="A71:A73"/>
    <mergeCell ref="C71:C73"/>
    <mergeCell ref="A101:A103"/>
    <mergeCell ref="A94:A95"/>
    <mergeCell ref="B121:B122"/>
    <mergeCell ref="C66:C68"/>
    <mergeCell ref="E66:E68"/>
    <mergeCell ref="C53:C55"/>
    <mergeCell ref="E53:E55"/>
    <mergeCell ref="F26:F29"/>
    <mergeCell ref="D123:D125"/>
    <mergeCell ref="F90:F93"/>
    <mergeCell ref="E111:E113"/>
    <mergeCell ref="B115:B117"/>
    <mergeCell ref="A62:A65"/>
    <mergeCell ref="S37:S38"/>
    <mergeCell ref="C46:C47"/>
    <mergeCell ref="K90:K93"/>
    <mergeCell ref="E46:E47"/>
    <mergeCell ref="C138:C139"/>
    <mergeCell ref="I6:I12"/>
    <mergeCell ref="K6:K12"/>
    <mergeCell ref="K129:K131"/>
    <mergeCell ref="O87:O89"/>
    <mergeCell ref="O96:O100"/>
    <mergeCell ref="S57:S59"/>
    <mergeCell ref="S121:S122"/>
    <mergeCell ref="M11:M12"/>
    <mergeCell ref="S123:S125"/>
    <mergeCell ref="G17:G22"/>
    <mergeCell ref="M46:M47"/>
    <mergeCell ref="L138:L139"/>
    <mergeCell ref="E6:E12"/>
    <mergeCell ref="O115:O117"/>
    <mergeCell ref="C132:C133"/>
    <mergeCell ref="X115:X117"/>
    <mergeCell ref="S34:S35"/>
    <mergeCell ref="A49:A51"/>
    <mergeCell ref="K146:K148"/>
    <mergeCell ref="C49:C51"/>
    <mergeCell ref="X129:X131"/>
    <mergeCell ref="B37:B38"/>
    <mergeCell ref="F87:F89"/>
    <mergeCell ref="I129:I131"/>
    <mergeCell ref="K123:K125"/>
    <mergeCell ref="E123:E125"/>
    <mergeCell ref="E108:E110"/>
    <mergeCell ref="L129:L131"/>
    <mergeCell ref="B140:B141"/>
    <mergeCell ref="D140:D141"/>
    <mergeCell ref="B49:B51"/>
    <mergeCell ref="F77:F79"/>
    <mergeCell ref="L132:L133"/>
    <mergeCell ref="D135:D136"/>
    <mergeCell ref="N132:N133"/>
    <mergeCell ref="F135:F136"/>
    <mergeCell ref="A46:A47"/>
    <mergeCell ref="K32:K33"/>
    <mergeCell ref="C39:C41"/>
    <mergeCell ref="M88:M89"/>
    <mergeCell ref="K57:K59"/>
    <mergeCell ref="C1:C2"/>
    <mergeCell ref="E1:E2"/>
    <mergeCell ref="B42:B43"/>
    <mergeCell ref="M90:M91"/>
    <mergeCell ref="O23:O25"/>
    <mergeCell ref="G26:G29"/>
    <mergeCell ref="J6:J12"/>
    <mergeCell ref="C14:C15"/>
    <mergeCell ref="E14:E15"/>
    <mergeCell ref="K46:K47"/>
    <mergeCell ref="L1:L2"/>
    <mergeCell ref="N1:N2"/>
    <mergeCell ref="K1:K2"/>
    <mergeCell ref="M1:M2"/>
    <mergeCell ref="B1:B2"/>
    <mergeCell ref="H1:H2"/>
    <mergeCell ref="J1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3"/>
  <sheetViews>
    <sheetView tabSelected="1" topLeftCell="A52" workbookViewId="0">
      <selection activeCell="B41" sqref="B41"/>
    </sheetView>
  </sheetViews>
  <sheetFormatPr defaultRowHeight="14.4" x14ac:dyDescent="0.3"/>
  <cols>
    <col min="1" max="1" width="10" customWidth="1"/>
    <col min="2" max="2" width="21" bestFit="1" customWidth="1"/>
    <col min="3" max="3" width="26" bestFit="1" customWidth="1"/>
    <col min="4" max="4" width="18" bestFit="1" customWidth="1"/>
    <col min="5" max="6" width="14" customWidth="1"/>
    <col min="7" max="7" width="18" customWidth="1"/>
    <col min="8" max="8" width="10" customWidth="1"/>
    <col min="9" max="9" width="11" customWidth="1"/>
    <col min="10" max="12" width="10" bestFit="1" customWidth="1"/>
    <col min="13" max="16" width="10" customWidth="1"/>
    <col min="17" max="17" width="10" bestFit="1" customWidth="1"/>
  </cols>
  <sheetData>
    <row r="1" spans="1:17" ht="15.75" customHeight="1" thickBot="1" x14ac:dyDescent="0.35">
      <c r="A1" s="135" t="s">
        <v>0</v>
      </c>
      <c r="B1" s="133"/>
      <c r="C1" s="133"/>
      <c r="D1" s="133"/>
      <c r="E1" s="133"/>
      <c r="F1" s="133"/>
      <c r="G1" s="136"/>
      <c r="I1" s="135"/>
      <c r="J1" s="133"/>
      <c r="K1" s="133"/>
      <c r="L1" s="133"/>
      <c r="M1" s="133"/>
      <c r="N1" s="133"/>
      <c r="O1" s="133"/>
      <c r="P1" s="133"/>
      <c r="Q1" s="136"/>
    </row>
    <row r="2" spans="1:17" x14ac:dyDescent="0.3">
      <c r="A2" s="112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13" t="s">
        <v>7</v>
      </c>
      <c r="H2" s="86"/>
      <c r="I2" s="82"/>
      <c r="J2" s="83"/>
      <c r="K2" s="83"/>
      <c r="L2" s="83"/>
      <c r="M2" s="83"/>
      <c r="N2" s="83"/>
      <c r="O2" s="83"/>
      <c r="P2" s="115"/>
      <c r="Q2" s="121"/>
    </row>
    <row r="3" spans="1:17" x14ac:dyDescent="0.3">
      <c r="A3" s="84">
        <v>1</v>
      </c>
      <c r="B3" s="25">
        <v>46088</v>
      </c>
      <c r="C3" s="16" t="s">
        <v>8</v>
      </c>
      <c r="D3" s="16" t="s">
        <v>9</v>
      </c>
      <c r="E3" s="16">
        <v>35</v>
      </c>
      <c r="F3" s="16">
        <v>2071</v>
      </c>
      <c r="G3" s="85">
        <v>214.74</v>
      </c>
      <c r="H3" s="86"/>
      <c r="I3" s="84"/>
      <c r="J3" s="25"/>
      <c r="K3" s="16"/>
      <c r="L3" s="16"/>
      <c r="M3" s="16"/>
      <c r="N3" s="16"/>
      <c r="O3" s="20"/>
      <c r="P3" s="35"/>
      <c r="Q3" s="129"/>
    </row>
    <row r="4" spans="1:17" x14ac:dyDescent="0.3">
      <c r="A4" s="84">
        <v>2</v>
      </c>
      <c r="B4" s="25">
        <v>46091</v>
      </c>
      <c r="C4" s="16" t="s">
        <v>8</v>
      </c>
      <c r="D4" s="16" t="s">
        <v>10</v>
      </c>
      <c r="E4" s="16">
        <v>18</v>
      </c>
      <c r="F4" s="16">
        <v>1078</v>
      </c>
      <c r="G4" s="85">
        <v>180.22</v>
      </c>
      <c r="H4" s="86"/>
      <c r="I4" s="84"/>
      <c r="J4" s="25"/>
      <c r="K4" s="16"/>
      <c r="L4" s="16"/>
      <c r="M4" s="16"/>
      <c r="N4" s="16"/>
      <c r="O4" s="20"/>
      <c r="P4" s="35"/>
      <c r="Q4" s="129"/>
    </row>
    <row r="5" spans="1:17" x14ac:dyDescent="0.3">
      <c r="A5" s="84">
        <v>3</v>
      </c>
      <c r="B5" s="25">
        <v>46099</v>
      </c>
      <c r="C5" s="16" t="s">
        <v>8</v>
      </c>
      <c r="D5" s="16" t="s">
        <v>11</v>
      </c>
      <c r="E5" s="16">
        <v>165</v>
      </c>
      <c r="F5" s="16">
        <v>9292</v>
      </c>
      <c r="G5" s="85">
        <v>151.57</v>
      </c>
      <c r="H5" s="86"/>
      <c r="I5" s="84"/>
      <c r="J5" s="25"/>
      <c r="K5" s="16"/>
      <c r="L5" s="16"/>
      <c r="M5" s="16"/>
      <c r="N5" s="16"/>
      <c r="O5" s="20"/>
      <c r="P5" s="35"/>
      <c r="Q5" s="129"/>
    </row>
    <row r="6" spans="1:17" x14ac:dyDescent="0.3">
      <c r="A6" s="84">
        <v>4</v>
      </c>
      <c r="B6" s="25">
        <v>46107</v>
      </c>
      <c r="C6" s="16" t="s">
        <v>8</v>
      </c>
      <c r="D6" s="16" t="s">
        <v>12</v>
      </c>
      <c r="E6" s="16">
        <v>7</v>
      </c>
      <c r="F6" s="16">
        <v>342</v>
      </c>
      <c r="G6" s="85">
        <v>145.91</v>
      </c>
      <c r="H6" s="86"/>
      <c r="I6" s="84"/>
      <c r="J6" s="25"/>
      <c r="K6" s="16"/>
      <c r="L6" s="16"/>
      <c r="M6" s="16"/>
      <c r="N6" s="16"/>
      <c r="O6" s="20"/>
      <c r="P6" s="35"/>
      <c r="Q6" s="129"/>
    </row>
    <row r="7" spans="1:17" x14ac:dyDescent="0.3">
      <c r="A7" s="84">
        <v>5</v>
      </c>
      <c r="B7" s="25">
        <v>46117</v>
      </c>
      <c r="C7" s="16" t="s">
        <v>8</v>
      </c>
      <c r="D7" s="16" t="s">
        <v>13</v>
      </c>
      <c r="E7" s="16">
        <v>124</v>
      </c>
      <c r="F7" s="16">
        <v>7286</v>
      </c>
      <c r="G7" s="85">
        <v>139.38</v>
      </c>
      <c r="H7" s="86"/>
      <c r="I7" s="84"/>
      <c r="J7" s="25"/>
      <c r="K7" s="16"/>
      <c r="L7" s="16"/>
      <c r="M7" s="16"/>
      <c r="N7" s="16"/>
      <c r="O7" s="20"/>
      <c r="P7" s="35"/>
      <c r="Q7" s="129"/>
    </row>
    <row r="8" spans="1:17" x14ac:dyDescent="0.3">
      <c r="A8" s="84">
        <v>6</v>
      </c>
      <c r="B8" s="25">
        <v>46120</v>
      </c>
      <c r="C8" s="16" t="s">
        <v>8</v>
      </c>
      <c r="D8" s="16" t="s">
        <v>14</v>
      </c>
      <c r="E8" s="16">
        <v>77</v>
      </c>
      <c r="F8" s="16">
        <v>4472</v>
      </c>
      <c r="G8" s="85">
        <v>151.28</v>
      </c>
      <c r="H8" s="86"/>
      <c r="I8" s="84"/>
      <c r="J8" s="25"/>
      <c r="K8" s="16"/>
      <c r="L8" s="16"/>
      <c r="M8" s="16"/>
      <c r="N8" s="16"/>
      <c r="O8" s="20"/>
      <c r="P8" s="35"/>
      <c r="Q8" s="129"/>
    </row>
    <row r="9" spans="1:17" x14ac:dyDescent="0.3">
      <c r="A9" s="84">
        <v>7</v>
      </c>
      <c r="B9" s="25">
        <v>46121</v>
      </c>
      <c r="C9" s="16" t="s">
        <v>8</v>
      </c>
      <c r="D9" s="16" t="s">
        <v>15</v>
      </c>
      <c r="E9" s="16">
        <v>45</v>
      </c>
      <c r="F9" s="16">
        <v>2122</v>
      </c>
      <c r="G9" s="85">
        <v>155.6</v>
      </c>
      <c r="H9" s="86"/>
      <c r="I9" s="84"/>
      <c r="J9" s="25"/>
      <c r="K9" s="16"/>
      <c r="L9" s="16"/>
      <c r="M9" s="16"/>
      <c r="N9" s="16"/>
      <c r="O9" s="20"/>
      <c r="P9" s="35"/>
      <c r="Q9" s="129"/>
    </row>
    <row r="10" spans="1:17" x14ac:dyDescent="0.3">
      <c r="A10" s="84">
        <v>8</v>
      </c>
      <c r="B10" s="25">
        <v>46123</v>
      </c>
      <c r="C10" s="16" t="s">
        <v>8</v>
      </c>
      <c r="D10" s="16" t="s">
        <v>16</v>
      </c>
      <c r="E10" s="16">
        <v>44</v>
      </c>
      <c r="F10" s="16">
        <v>2380</v>
      </c>
      <c r="G10" s="85">
        <v>155.59</v>
      </c>
      <c r="H10" s="86"/>
      <c r="I10" s="84"/>
      <c r="J10" s="25"/>
      <c r="K10" s="16"/>
      <c r="L10" s="16"/>
      <c r="M10" s="16"/>
      <c r="N10" s="16"/>
      <c r="O10" s="20"/>
      <c r="P10" s="35"/>
      <c r="Q10" s="129"/>
    </row>
    <row r="11" spans="1:17" x14ac:dyDescent="0.3">
      <c r="A11" s="84">
        <v>9</v>
      </c>
      <c r="B11" s="25">
        <v>46123</v>
      </c>
      <c r="C11" s="16" t="s">
        <v>8</v>
      </c>
      <c r="D11" s="16" t="s">
        <v>17</v>
      </c>
      <c r="E11" s="16">
        <v>104</v>
      </c>
      <c r="F11" s="16">
        <v>6240</v>
      </c>
      <c r="G11" s="85">
        <v>155.4</v>
      </c>
      <c r="H11" s="86"/>
      <c r="I11" s="84"/>
      <c r="J11" s="25"/>
      <c r="K11" s="16"/>
      <c r="L11" s="16"/>
      <c r="M11" s="16"/>
      <c r="N11" s="16"/>
      <c r="O11" s="20"/>
      <c r="P11" s="35"/>
      <c r="Q11" s="129"/>
    </row>
    <row r="12" spans="1:17" x14ac:dyDescent="0.3">
      <c r="A12" s="84">
        <v>10</v>
      </c>
      <c r="B12" s="25">
        <v>46127</v>
      </c>
      <c r="C12" s="16" t="s">
        <v>8</v>
      </c>
      <c r="D12" s="16" t="s">
        <v>18</v>
      </c>
      <c r="E12" s="16">
        <v>81</v>
      </c>
      <c r="F12" s="16">
        <v>4736</v>
      </c>
      <c r="G12" s="85">
        <v>144.96</v>
      </c>
      <c r="H12" s="86"/>
      <c r="I12" s="84"/>
      <c r="J12" s="25"/>
      <c r="K12" s="16"/>
      <c r="L12" s="16"/>
      <c r="M12" s="16"/>
      <c r="N12" s="16"/>
      <c r="O12" s="20"/>
      <c r="P12" s="35"/>
      <c r="Q12" s="129"/>
    </row>
    <row r="13" spans="1:17" x14ac:dyDescent="0.3">
      <c r="A13" s="84">
        <v>11</v>
      </c>
      <c r="B13" s="25">
        <v>46128</v>
      </c>
      <c r="C13" s="16" t="s">
        <v>8</v>
      </c>
      <c r="D13" s="16" t="s">
        <v>19</v>
      </c>
      <c r="E13" s="16">
        <v>69</v>
      </c>
      <c r="F13" s="16">
        <v>3686</v>
      </c>
      <c r="G13" s="85">
        <v>154.56</v>
      </c>
      <c r="H13" s="86"/>
      <c r="I13" s="84"/>
      <c r="J13" s="25"/>
      <c r="K13" s="16"/>
      <c r="L13" s="16"/>
      <c r="M13" s="16"/>
      <c r="N13" s="16"/>
      <c r="O13" s="20"/>
      <c r="P13" s="35"/>
      <c r="Q13" s="129"/>
    </row>
    <row r="14" spans="1:17" x14ac:dyDescent="0.3">
      <c r="A14" s="84">
        <v>12</v>
      </c>
      <c r="B14" s="25">
        <v>46128</v>
      </c>
      <c r="C14" s="16" t="s">
        <v>8</v>
      </c>
      <c r="D14" s="16" t="s">
        <v>20</v>
      </c>
      <c r="E14" s="16">
        <v>65</v>
      </c>
      <c r="F14" s="16">
        <v>3574</v>
      </c>
      <c r="G14" s="85">
        <v>144.19</v>
      </c>
      <c r="H14" s="86"/>
      <c r="I14" s="116"/>
      <c r="J14" s="25"/>
      <c r="K14" s="114"/>
      <c r="L14" s="114"/>
      <c r="M14" s="114"/>
      <c r="N14" s="114"/>
      <c r="O14" s="20"/>
      <c r="P14" s="119"/>
      <c r="Q14" s="129"/>
    </row>
    <row r="15" spans="1:17" x14ac:dyDescent="0.3">
      <c r="A15" s="84">
        <v>13</v>
      </c>
      <c r="B15" s="25">
        <v>46131</v>
      </c>
      <c r="C15" s="16" t="s">
        <v>8</v>
      </c>
      <c r="D15" s="16" t="s">
        <v>21</v>
      </c>
      <c r="E15" s="16">
        <v>233</v>
      </c>
      <c r="F15" s="16">
        <v>13690</v>
      </c>
      <c r="G15" s="85">
        <v>153.76</v>
      </c>
      <c r="H15" s="86"/>
      <c r="I15" s="87"/>
      <c r="J15" s="49"/>
      <c r="K15" s="26"/>
      <c r="L15" s="118"/>
      <c r="M15" s="26"/>
      <c r="N15" s="26"/>
      <c r="O15" s="59"/>
      <c r="P15" s="120"/>
      <c r="Q15" s="129"/>
    </row>
    <row r="16" spans="1:17" ht="15.75" customHeight="1" thickBot="1" x14ac:dyDescent="0.35">
      <c r="A16" s="84">
        <v>14</v>
      </c>
      <c r="B16" s="25">
        <v>46133</v>
      </c>
      <c r="C16" s="16" t="s">
        <v>8</v>
      </c>
      <c r="D16" s="16" t="s">
        <v>22</v>
      </c>
      <c r="E16" s="16">
        <v>379</v>
      </c>
      <c r="F16" s="16">
        <v>22413</v>
      </c>
      <c r="G16" s="85">
        <v>165.33</v>
      </c>
      <c r="H16" s="86"/>
      <c r="I16" s="127"/>
      <c r="J16" s="122"/>
      <c r="K16" s="123"/>
      <c r="L16" s="123"/>
      <c r="M16" s="123"/>
      <c r="N16" s="123"/>
      <c r="O16" s="124"/>
      <c r="P16" s="125"/>
      <c r="Q16" s="128"/>
    </row>
    <row r="17" spans="1:17" ht="15.75" customHeight="1" thickBot="1" x14ac:dyDescent="0.35">
      <c r="A17" s="84">
        <v>15</v>
      </c>
      <c r="B17" s="25">
        <v>46135</v>
      </c>
      <c r="C17" s="16" t="s">
        <v>8</v>
      </c>
      <c r="D17" s="16" t="s">
        <v>23</v>
      </c>
      <c r="E17" s="16">
        <v>64</v>
      </c>
      <c r="F17" s="16">
        <v>3023</v>
      </c>
      <c r="G17" s="85">
        <v>164.41</v>
      </c>
      <c r="H17" s="86"/>
      <c r="I17" s="89"/>
      <c r="J17" s="132"/>
      <c r="K17" s="133"/>
      <c r="L17" s="133"/>
      <c r="M17" s="134"/>
      <c r="N17" s="90"/>
      <c r="O17" s="117"/>
      <c r="P17" s="2"/>
      <c r="Q17" s="126"/>
    </row>
    <row r="18" spans="1:17" x14ac:dyDescent="0.3">
      <c r="A18" s="84">
        <v>16</v>
      </c>
      <c r="B18" s="25">
        <v>46135</v>
      </c>
      <c r="C18" s="16" t="s">
        <v>8</v>
      </c>
      <c r="D18" s="16" t="s">
        <v>24</v>
      </c>
      <c r="E18" s="16">
        <v>143</v>
      </c>
      <c r="F18" s="16">
        <v>8208</v>
      </c>
      <c r="G18" s="85">
        <v>163.02000000000001</v>
      </c>
      <c r="H18" s="29"/>
      <c r="I18" s="17"/>
      <c r="J18" s="17"/>
      <c r="K18" s="17"/>
      <c r="L18" s="17"/>
      <c r="M18" s="17"/>
      <c r="N18" s="17"/>
    </row>
    <row r="19" spans="1:17" x14ac:dyDescent="0.3">
      <c r="A19" s="84">
        <v>17</v>
      </c>
      <c r="B19" s="25">
        <v>46140</v>
      </c>
      <c r="C19" s="16" t="s">
        <v>8</v>
      </c>
      <c r="D19" s="16" t="s">
        <v>25</v>
      </c>
      <c r="E19" s="16">
        <v>192</v>
      </c>
      <c r="F19" s="16">
        <v>11184</v>
      </c>
      <c r="G19" s="85">
        <v>168.24</v>
      </c>
      <c r="H19" s="29"/>
      <c r="I19" s="16"/>
      <c r="J19" s="16"/>
      <c r="K19" s="16"/>
      <c r="L19" s="16"/>
      <c r="M19" s="16"/>
      <c r="N19" s="16"/>
    </row>
    <row r="20" spans="1:17" x14ac:dyDescent="0.3">
      <c r="A20" s="84">
        <v>18</v>
      </c>
      <c r="B20" s="25">
        <v>46142</v>
      </c>
      <c r="C20" s="16" t="s">
        <v>8</v>
      </c>
      <c r="D20" s="16" t="s">
        <v>26</v>
      </c>
      <c r="E20" s="16">
        <v>15</v>
      </c>
      <c r="F20" s="16">
        <v>716</v>
      </c>
      <c r="G20" s="85">
        <v>164.59</v>
      </c>
      <c r="H20" s="29"/>
      <c r="I20" s="16"/>
      <c r="J20" s="16"/>
      <c r="K20" s="16"/>
      <c r="L20" s="16"/>
      <c r="M20" s="16"/>
      <c r="N20" s="16"/>
    </row>
    <row r="21" spans="1:17" x14ac:dyDescent="0.3">
      <c r="A21" s="84">
        <v>19</v>
      </c>
      <c r="B21" s="25">
        <v>46142</v>
      </c>
      <c r="C21" s="16" t="s">
        <v>8</v>
      </c>
      <c r="D21" s="16" t="s">
        <v>27</v>
      </c>
      <c r="E21" s="16">
        <v>114</v>
      </c>
      <c r="F21" s="16">
        <v>6706</v>
      </c>
      <c r="G21" s="85">
        <v>166.12</v>
      </c>
      <c r="H21" s="29"/>
      <c r="I21" s="16"/>
      <c r="J21" s="16"/>
      <c r="K21" s="16"/>
      <c r="L21" s="16"/>
      <c r="M21" s="16"/>
      <c r="N21" s="16"/>
    </row>
    <row r="22" spans="1:17" x14ac:dyDescent="0.3">
      <c r="A22" s="84">
        <v>20</v>
      </c>
      <c r="B22" s="25">
        <v>46147</v>
      </c>
      <c r="C22" s="16" t="s">
        <v>8</v>
      </c>
      <c r="D22" s="16" t="s">
        <v>28</v>
      </c>
      <c r="E22" s="16">
        <v>59</v>
      </c>
      <c r="F22" s="16">
        <v>2968</v>
      </c>
      <c r="G22" s="85">
        <v>171.63</v>
      </c>
      <c r="H22" s="29"/>
      <c r="I22" s="16"/>
      <c r="J22" s="16"/>
      <c r="K22" s="16"/>
      <c r="L22" s="16"/>
      <c r="M22" s="16"/>
      <c r="N22" s="16"/>
    </row>
    <row r="23" spans="1:17" x14ac:dyDescent="0.3">
      <c r="A23" s="84">
        <v>21</v>
      </c>
      <c r="B23" s="25">
        <v>46147</v>
      </c>
      <c r="C23" s="16" t="s">
        <v>8</v>
      </c>
      <c r="D23" s="16" t="s">
        <v>29</v>
      </c>
      <c r="E23" s="16">
        <v>110</v>
      </c>
      <c r="F23" s="16">
        <v>6402</v>
      </c>
      <c r="G23" s="85">
        <v>169.59</v>
      </c>
      <c r="H23" s="29"/>
      <c r="I23" s="16"/>
      <c r="J23" s="16"/>
      <c r="K23" s="16"/>
      <c r="L23" s="16"/>
      <c r="M23" s="16"/>
      <c r="N23" s="16"/>
    </row>
    <row r="24" spans="1:17" x14ac:dyDescent="0.3">
      <c r="A24" s="84">
        <v>22</v>
      </c>
      <c r="B24" s="25">
        <v>46152</v>
      </c>
      <c r="C24" s="16" t="s">
        <v>8</v>
      </c>
      <c r="D24" s="16" t="s">
        <v>30</v>
      </c>
      <c r="E24" s="16">
        <v>81</v>
      </c>
      <c r="F24" s="16">
        <v>4281</v>
      </c>
      <c r="G24" s="85">
        <v>171.47</v>
      </c>
      <c r="H24" s="29"/>
      <c r="I24" s="16"/>
      <c r="J24" s="16"/>
      <c r="K24" s="16"/>
      <c r="L24" s="16"/>
      <c r="M24" s="16"/>
      <c r="N24" s="16"/>
    </row>
    <row r="25" spans="1:17" x14ac:dyDescent="0.3">
      <c r="A25" s="84">
        <v>23</v>
      </c>
      <c r="B25" s="25">
        <v>46152</v>
      </c>
      <c r="C25" s="16" t="s">
        <v>8</v>
      </c>
      <c r="D25" s="16" t="s">
        <v>31</v>
      </c>
      <c r="E25" s="16">
        <v>84</v>
      </c>
      <c r="F25" s="16">
        <v>4835</v>
      </c>
      <c r="G25" s="85">
        <v>172.58</v>
      </c>
      <c r="H25" s="29"/>
      <c r="I25" s="16"/>
      <c r="J25" s="16"/>
      <c r="K25" s="16"/>
      <c r="L25" s="16"/>
      <c r="M25" s="16"/>
      <c r="N25" s="16"/>
    </row>
    <row r="26" spans="1:17" x14ac:dyDescent="0.3">
      <c r="A26" s="84">
        <v>24</v>
      </c>
      <c r="B26" s="25">
        <v>46155</v>
      </c>
      <c r="C26" s="16" t="s">
        <v>8</v>
      </c>
      <c r="D26" s="16" t="s">
        <v>32</v>
      </c>
      <c r="E26" s="16">
        <v>252</v>
      </c>
      <c r="F26" s="16">
        <v>14822</v>
      </c>
      <c r="G26" s="85">
        <v>166.41</v>
      </c>
      <c r="H26" s="29"/>
      <c r="I26" s="16"/>
      <c r="J26" s="16"/>
      <c r="K26" s="16"/>
      <c r="L26" s="16"/>
      <c r="M26" s="16"/>
      <c r="N26" s="16"/>
    </row>
    <row r="27" spans="1:17" x14ac:dyDescent="0.3">
      <c r="A27" s="84">
        <v>25</v>
      </c>
      <c r="B27" s="25">
        <v>46158</v>
      </c>
      <c r="C27" s="16" t="s">
        <v>8</v>
      </c>
      <c r="D27" s="16" t="s">
        <v>33</v>
      </c>
      <c r="E27" s="16">
        <v>58</v>
      </c>
      <c r="F27" s="16">
        <v>2422</v>
      </c>
      <c r="G27" s="85">
        <v>173.24</v>
      </c>
      <c r="H27" s="29"/>
      <c r="I27" s="16"/>
      <c r="J27" s="16"/>
      <c r="K27" s="16"/>
      <c r="L27" s="16"/>
      <c r="M27" s="16"/>
      <c r="N27" s="16"/>
    </row>
    <row r="28" spans="1:17" x14ac:dyDescent="0.3">
      <c r="A28" s="84">
        <v>26</v>
      </c>
      <c r="B28" s="25">
        <v>46159</v>
      </c>
      <c r="C28" s="16" t="s">
        <v>8</v>
      </c>
      <c r="D28" s="16" t="s">
        <v>34</v>
      </c>
      <c r="E28" s="16">
        <v>177</v>
      </c>
      <c r="F28" s="16">
        <v>10285</v>
      </c>
      <c r="G28" s="85">
        <v>172.71</v>
      </c>
      <c r="H28" s="29"/>
      <c r="I28" s="16"/>
      <c r="J28" s="16"/>
      <c r="K28" s="16"/>
      <c r="L28" s="16"/>
      <c r="M28" s="16"/>
      <c r="N28" s="16"/>
    </row>
    <row r="29" spans="1:17" x14ac:dyDescent="0.3">
      <c r="A29" s="84">
        <v>27</v>
      </c>
      <c r="B29" s="25">
        <v>46162</v>
      </c>
      <c r="C29" s="16" t="s">
        <v>8</v>
      </c>
      <c r="D29" s="16" t="s">
        <v>35</v>
      </c>
      <c r="E29" s="16">
        <v>46</v>
      </c>
      <c r="F29" s="16">
        <v>1618</v>
      </c>
      <c r="G29" s="85">
        <v>166.26</v>
      </c>
      <c r="H29" s="29"/>
      <c r="I29" s="16"/>
      <c r="J29" s="16"/>
      <c r="K29" s="16"/>
      <c r="L29" s="16"/>
      <c r="M29" s="16"/>
      <c r="N29" s="16"/>
    </row>
    <row r="30" spans="1:17" x14ac:dyDescent="0.3">
      <c r="A30" s="84">
        <v>28</v>
      </c>
      <c r="B30" s="25">
        <v>46163</v>
      </c>
      <c r="C30" s="16" t="s">
        <v>8</v>
      </c>
      <c r="D30" s="16" t="s">
        <v>36</v>
      </c>
      <c r="E30" s="16">
        <v>17</v>
      </c>
      <c r="F30" s="16">
        <v>828</v>
      </c>
      <c r="G30" s="85">
        <v>163.55000000000001</v>
      </c>
      <c r="H30" s="29"/>
      <c r="I30" s="16"/>
      <c r="J30" s="16"/>
      <c r="K30" s="16"/>
      <c r="L30" s="16"/>
      <c r="M30" s="16"/>
      <c r="N30" s="16"/>
    </row>
    <row r="31" spans="1:17" x14ac:dyDescent="0.3">
      <c r="A31" s="84">
        <v>29</v>
      </c>
      <c r="B31" s="25">
        <v>46172</v>
      </c>
      <c r="C31" s="16" t="s">
        <v>8</v>
      </c>
      <c r="D31" s="16" t="s">
        <v>37</v>
      </c>
      <c r="E31" s="16">
        <v>202</v>
      </c>
      <c r="F31" s="16">
        <v>11970</v>
      </c>
      <c r="G31" s="85">
        <v>167.37</v>
      </c>
      <c r="H31" s="29"/>
      <c r="I31" s="16"/>
      <c r="J31" s="16"/>
      <c r="K31" s="16"/>
      <c r="L31" s="16"/>
      <c r="M31" s="16"/>
      <c r="N31" s="16"/>
    </row>
    <row r="32" spans="1:17" x14ac:dyDescent="0.3">
      <c r="A32" s="84"/>
      <c r="B32" s="25">
        <v>46175</v>
      </c>
      <c r="C32" s="16" t="s">
        <v>8</v>
      </c>
      <c r="D32" s="16" t="s">
        <v>38</v>
      </c>
      <c r="E32" s="16">
        <v>92</v>
      </c>
      <c r="F32" s="16">
        <v>4870</v>
      </c>
      <c r="G32" s="85">
        <v>0</v>
      </c>
      <c r="H32" s="29"/>
      <c r="I32" s="16"/>
      <c r="J32" s="16"/>
      <c r="K32" s="16"/>
      <c r="L32" s="16"/>
      <c r="M32" s="16"/>
      <c r="N32" s="16"/>
    </row>
    <row r="33" spans="1:14" ht="15.75" customHeight="1" thickBot="1" x14ac:dyDescent="0.35">
      <c r="A33" s="87"/>
      <c r="B33" s="49">
        <v>46180</v>
      </c>
      <c r="C33" s="26" t="s">
        <v>8</v>
      </c>
      <c r="D33" s="26" t="s">
        <v>39</v>
      </c>
      <c r="E33" s="26">
        <v>331</v>
      </c>
      <c r="F33" s="26">
        <v>19808</v>
      </c>
      <c r="G33" s="88">
        <v>0</v>
      </c>
      <c r="H33" s="29"/>
      <c r="I33" s="16"/>
      <c r="J33" s="16"/>
      <c r="K33" s="16"/>
      <c r="L33" s="16"/>
      <c r="M33" s="16"/>
      <c r="N33" s="16"/>
    </row>
    <row r="34" spans="1:14" ht="15.75" customHeight="1" thickBot="1" x14ac:dyDescent="0.35">
      <c r="A34" s="89"/>
      <c r="B34" s="132" t="s">
        <v>40</v>
      </c>
      <c r="C34" s="133"/>
      <c r="D34" s="134"/>
      <c r="E34" s="90">
        <f>SUM(E3:E33)</f>
        <v>3483</v>
      </c>
      <c r="F34" s="90">
        <f>SUM(F3:F33)</f>
        <v>198328</v>
      </c>
      <c r="G34" s="91">
        <f>AVERAGE(G3:G33)</f>
        <v>152.6993548387097</v>
      </c>
      <c r="H34" s="29"/>
      <c r="I34" s="16"/>
      <c r="J34" s="16"/>
      <c r="K34" s="16"/>
      <c r="L34" s="16"/>
      <c r="M34" s="16"/>
      <c r="N34" s="16"/>
    </row>
    <row r="36" spans="1:14" x14ac:dyDescent="0.3">
      <c r="A36" s="130" t="s">
        <v>41</v>
      </c>
    </row>
    <row r="37" spans="1:14" x14ac:dyDescent="0.3">
      <c r="A37" s="173" t="s">
        <v>41</v>
      </c>
      <c r="B37" s="173"/>
      <c r="C37" s="173"/>
      <c r="D37" s="173"/>
      <c r="E37" s="173"/>
      <c r="F37" s="173"/>
      <c r="G37" s="173"/>
      <c r="H37" s="173"/>
      <c r="I37" s="173"/>
      <c r="J37" s="173"/>
      <c r="K37" s="173"/>
    </row>
    <row r="38" spans="1:14" x14ac:dyDescent="0.3">
      <c r="A38" t="s">
        <v>1</v>
      </c>
      <c r="B38" t="s">
        <v>2</v>
      </c>
      <c r="C38" t="s">
        <v>42</v>
      </c>
      <c r="D38" t="s">
        <v>43</v>
      </c>
      <c r="E38" t="s">
        <v>5</v>
      </c>
      <c r="F38" t="s">
        <v>6</v>
      </c>
      <c r="G38" t="s">
        <v>7</v>
      </c>
      <c r="H38" t="s">
        <v>44</v>
      </c>
      <c r="I38" t="s">
        <v>45</v>
      </c>
    </row>
    <row r="39" spans="1:14" x14ac:dyDescent="0.3">
      <c r="A39">
        <v>1</v>
      </c>
      <c r="B39" s="131">
        <v>46118</v>
      </c>
      <c r="C39" t="s">
        <v>46</v>
      </c>
      <c r="D39" t="s">
        <v>47</v>
      </c>
      <c r="E39">
        <v>80</v>
      </c>
      <c r="F39">
        <v>2000</v>
      </c>
      <c r="G39">
        <v>248.89</v>
      </c>
      <c r="H39">
        <v>1180</v>
      </c>
      <c r="I39">
        <v>0</v>
      </c>
    </row>
    <row r="40" spans="1:14" x14ac:dyDescent="0.3">
      <c r="A40">
        <v>2</v>
      </c>
      <c r="B40" s="131">
        <v>46135</v>
      </c>
      <c r="C40" t="s">
        <v>48</v>
      </c>
      <c r="D40" t="s">
        <v>49</v>
      </c>
      <c r="E40">
        <v>640</v>
      </c>
      <c r="F40">
        <v>16000</v>
      </c>
      <c r="G40">
        <v>161</v>
      </c>
      <c r="H40">
        <v>12090</v>
      </c>
      <c r="I40">
        <v>19100</v>
      </c>
    </row>
    <row r="41" spans="1:14" x14ac:dyDescent="0.3">
      <c r="A41">
        <v>3</v>
      </c>
      <c r="B41" s="131">
        <v>46146</v>
      </c>
      <c r="C41" t="s">
        <v>50</v>
      </c>
      <c r="D41" t="s">
        <v>51</v>
      </c>
      <c r="E41">
        <v>640</v>
      </c>
      <c r="F41">
        <v>16000</v>
      </c>
      <c r="G41">
        <v>196.96899999999999</v>
      </c>
      <c r="H41">
        <v>7788</v>
      </c>
      <c r="I41">
        <v>0</v>
      </c>
    </row>
    <row r="42" spans="1:14" x14ac:dyDescent="0.3">
      <c r="A42">
        <v>4</v>
      </c>
      <c r="B42" s="131">
        <v>46147</v>
      </c>
      <c r="C42" t="s">
        <v>52</v>
      </c>
      <c r="D42" t="s">
        <v>53</v>
      </c>
      <c r="E42">
        <v>960</v>
      </c>
      <c r="F42">
        <v>24000</v>
      </c>
      <c r="G42">
        <v>172</v>
      </c>
      <c r="H42">
        <v>15132</v>
      </c>
      <c r="I42">
        <v>13980</v>
      </c>
    </row>
    <row r="43" spans="1:14" x14ac:dyDescent="0.3">
      <c r="A43">
        <v>5</v>
      </c>
      <c r="B43" s="131">
        <v>46148</v>
      </c>
      <c r="C43" t="s">
        <v>54</v>
      </c>
      <c r="D43" t="s">
        <v>55</v>
      </c>
      <c r="E43">
        <v>2700</v>
      </c>
      <c r="F43">
        <v>27000</v>
      </c>
      <c r="G43">
        <v>192</v>
      </c>
      <c r="H43">
        <v>23120</v>
      </c>
      <c r="I43">
        <v>26460</v>
      </c>
    </row>
    <row r="44" spans="1:14" x14ac:dyDescent="0.3">
      <c r="A44">
        <v>6</v>
      </c>
      <c r="B44" s="131">
        <v>46149</v>
      </c>
      <c r="C44" t="s">
        <v>50</v>
      </c>
      <c r="D44" t="s">
        <v>56</v>
      </c>
      <c r="E44">
        <v>240</v>
      </c>
      <c r="F44">
        <v>6000</v>
      </c>
      <c r="G44">
        <v>205.43700000000001</v>
      </c>
      <c r="H44">
        <v>3068</v>
      </c>
      <c r="I44">
        <v>0</v>
      </c>
    </row>
    <row r="45" spans="1:14" x14ac:dyDescent="0.3">
      <c r="A45">
        <v>7</v>
      </c>
      <c r="B45" s="131">
        <v>46150</v>
      </c>
      <c r="C45" t="s">
        <v>57</v>
      </c>
      <c r="D45" t="s">
        <v>58</v>
      </c>
      <c r="E45">
        <v>120</v>
      </c>
      <c r="F45">
        <v>3000</v>
      </c>
      <c r="G45">
        <v>176.1</v>
      </c>
      <c r="H45">
        <v>1652</v>
      </c>
      <c r="I45">
        <v>0</v>
      </c>
    </row>
    <row r="46" spans="1:14" x14ac:dyDescent="0.3">
      <c r="A46">
        <v>8</v>
      </c>
      <c r="B46" s="131">
        <v>46151</v>
      </c>
      <c r="C46" t="s">
        <v>59</v>
      </c>
      <c r="D46" t="s">
        <v>60</v>
      </c>
      <c r="E46">
        <v>400</v>
      </c>
      <c r="F46">
        <v>10000</v>
      </c>
      <c r="G46">
        <v>187</v>
      </c>
      <c r="H46">
        <v>4956</v>
      </c>
      <c r="I46">
        <v>15000</v>
      </c>
    </row>
    <row r="47" spans="1:14" x14ac:dyDescent="0.3">
      <c r="A47">
        <v>9</v>
      </c>
      <c r="B47" s="131">
        <v>46152</v>
      </c>
      <c r="C47" t="s">
        <v>61</v>
      </c>
      <c r="D47" t="s">
        <v>62</v>
      </c>
      <c r="E47">
        <v>750</v>
      </c>
      <c r="F47">
        <v>7500</v>
      </c>
      <c r="G47">
        <v>174</v>
      </c>
      <c r="H47">
        <v>0</v>
      </c>
      <c r="I47">
        <v>15000</v>
      </c>
    </row>
    <row r="48" spans="1:14" x14ac:dyDescent="0.3">
      <c r="A48">
        <v>10</v>
      </c>
      <c r="B48" s="131">
        <v>46153</v>
      </c>
      <c r="C48" t="s">
        <v>63</v>
      </c>
      <c r="D48" t="s">
        <v>62</v>
      </c>
      <c r="E48">
        <v>1120</v>
      </c>
      <c r="F48">
        <v>28000</v>
      </c>
      <c r="G48">
        <v>190</v>
      </c>
      <c r="H48">
        <v>21544</v>
      </c>
      <c r="I48">
        <v>25200</v>
      </c>
    </row>
    <row r="49" spans="1:9" x14ac:dyDescent="0.3">
      <c r="A49">
        <v>11</v>
      </c>
      <c r="B49" s="131">
        <v>46154</v>
      </c>
      <c r="C49" t="s">
        <v>64</v>
      </c>
      <c r="D49" t="s">
        <v>62</v>
      </c>
      <c r="E49">
        <v>330</v>
      </c>
      <c r="F49">
        <v>8250</v>
      </c>
      <c r="G49">
        <v>190</v>
      </c>
      <c r="H49">
        <v>4012</v>
      </c>
      <c r="I49">
        <v>0</v>
      </c>
    </row>
    <row r="50" spans="1:9" x14ac:dyDescent="0.3">
      <c r="A50">
        <v>12</v>
      </c>
      <c r="B50" s="131">
        <v>46155</v>
      </c>
      <c r="C50" t="s">
        <v>65</v>
      </c>
      <c r="D50" t="s">
        <v>66</v>
      </c>
      <c r="F50">
        <v>12000</v>
      </c>
      <c r="G50">
        <v>80</v>
      </c>
      <c r="I50">
        <v>0</v>
      </c>
    </row>
    <row r="51" spans="1:9" x14ac:dyDescent="0.3">
      <c r="A51">
        <v>13</v>
      </c>
      <c r="B51" s="131">
        <v>46156</v>
      </c>
      <c r="C51" t="s">
        <v>67</v>
      </c>
      <c r="D51" t="s">
        <v>66</v>
      </c>
      <c r="F51">
        <v>13270</v>
      </c>
      <c r="G51">
        <v>5</v>
      </c>
      <c r="I51">
        <v>0</v>
      </c>
    </row>
    <row r="52" spans="1:9" x14ac:dyDescent="0.3">
      <c r="A52">
        <v>14</v>
      </c>
      <c r="B52" s="131">
        <v>46157</v>
      </c>
      <c r="C52" t="s">
        <v>68</v>
      </c>
      <c r="D52" t="s">
        <v>66</v>
      </c>
      <c r="F52">
        <v>630</v>
      </c>
      <c r="G52">
        <v>0</v>
      </c>
    </row>
    <row r="53" spans="1:9" x14ac:dyDescent="0.3">
      <c r="B53" t="s">
        <v>40</v>
      </c>
      <c r="F53">
        <f>SUM(N3:N16)</f>
        <v>0</v>
      </c>
      <c r="G53">
        <f>AVERAGE(G39:G52)</f>
        <v>155.59971428571427</v>
      </c>
      <c r="H53">
        <f t="shared" ref="H53:I53" si="0">AVERAGE(H39:H52)</f>
        <v>8594.7272727272721</v>
      </c>
      <c r="I53">
        <f t="shared" si="0"/>
        <v>8826.1538461538457</v>
      </c>
    </row>
  </sheetData>
  <mergeCells count="5">
    <mergeCell ref="J17:M17"/>
    <mergeCell ref="A1:G1"/>
    <mergeCell ref="B34:D34"/>
    <mergeCell ref="I1:Q1"/>
    <mergeCell ref="A37:K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PRODUCT STOCK REGISTER26-27</vt:lpstr>
      <vt:lpstr>KALONJI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sanket kudale</cp:lastModifiedBy>
  <dcterms:created xsi:type="dcterms:W3CDTF">2015-06-05T18:17:20Z</dcterms:created>
  <dcterms:modified xsi:type="dcterms:W3CDTF">2026-06-10T18:17:19Z</dcterms:modified>
</cp:coreProperties>
</file>