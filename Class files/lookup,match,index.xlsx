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D:\Excel files\Class files\"/>
    </mc:Choice>
  </mc:AlternateContent>
  <xr:revisionPtr revIDLastSave="0" documentId="13_ncr:1_{4F53035F-C4D4-4147-B0E8-AD026217CA88}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HR_Data" sheetId="1" r:id="rId1"/>
    <sheet name="Solutions" sheetId="2" state="hidden" r:id="rId2"/>
    <sheet name="Practice_Tasks" sheetId="3" r:id="rId3"/>
    <sheet name="Quick_Referenc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3" l="1"/>
  <c r="E12" i="3"/>
  <c r="E11" i="3"/>
  <c r="E10" i="3"/>
  <c r="E9" i="3"/>
  <c r="E7" i="3"/>
  <c r="E8" i="3"/>
  <c r="E5" i="3"/>
  <c r="E4" i="3"/>
  <c r="C31" i="2"/>
  <c r="B31" i="2"/>
  <c r="C30" i="2"/>
  <c r="B30" i="2"/>
  <c r="C29" i="2"/>
  <c r="B29" i="2"/>
  <c r="C28" i="2"/>
  <c r="B28" i="2"/>
  <c r="C24" i="2"/>
  <c r="B24" i="2"/>
  <c r="C23" i="2"/>
  <c r="B23" i="2"/>
  <c r="C22" i="2"/>
  <c r="B22" i="2"/>
  <c r="C18" i="2"/>
  <c r="B18" i="2"/>
  <c r="C17" i="2"/>
  <c r="B17" i="2"/>
  <c r="C16" i="2"/>
  <c r="B16" i="2"/>
  <c r="C12" i="2"/>
  <c r="B12" i="2"/>
  <c r="C11" i="2"/>
  <c r="B11" i="2"/>
  <c r="C10" i="2"/>
  <c r="B10" i="2"/>
  <c r="C6" i="2"/>
  <c r="B6" i="2"/>
  <c r="C5" i="2"/>
  <c r="B5" i="2"/>
  <c r="C4" i="2"/>
  <c r="B4" i="2"/>
</calcChain>
</file>

<file path=xl/sharedStrings.xml><?xml version="1.0" encoding="utf-8"?>
<sst xmlns="http://schemas.openxmlformats.org/spreadsheetml/2006/main" count="238" uniqueCount="183">
  <si>
    <t>👤  HR EMPLOYEE RECORDS — FY 2024-25</t>
  </si>
  <si>
    <t>Emp_ID</t>
  </si>
  <si>
    <t>Employee Name</t>
  </si>
  <si>
    <t>Department</t>
  </si>
  <si>
    <t>Salary (₹)</t>
  </si>
  <si>
    <t>Performance Rating (1-5)</t>
  </si>
  <si>
    <t>E001</t>
  </si>
  <si>
    <t>Aarav Shah</t>
  </si>
  <si>
    <t>HR</t>
  </si>
  <si>
    <t>E002</t>
  </si>
  <si>
    <t>Priya Mehta</t>
  </si>
  <si>
    <t>IT</t>
  </si>
  <si>
    <t>E003</t>
  </si>
  <si>
    <t>Rahul Verma</t>
  </si>
  <si>
    <t>Finance</t>
  </si>
  <si>
    <t>E004</t>
  </si>
  <si>
    <t>Sneha Patil</t>
  </si>
  <si>
    <t>Marketing</t>
  </si>
  <si>
    <t>E005</t>
  </si>
  <si>
    <t>Karan Joshi</t>
  </si>
  <si>
    <t>Operations</t>
  </si>
  <si>
    <t>E006</t>
  </si>
  <si>
    <t>Divya Nair</t>
  </si>
  <si>
    <t>E007</t>
  </si>
  <si>
    <t>Amit Yadav</t>
  </si>
  <si>
    <t>E008</t>
  </si>
  <si>
    <t>Neha Gupta</t>
  </si>
  <si>
    <t>E009</t>
  </si>
  <si>
    <t>Rohan Kapoor</t>
  </si>
  <si>
    <t>E010</t>
  </si>
  <si>
    <t>Pooja Tiwari</t>
  </si>
  <si>
    <t>E011</t>
  </si>
  <si>
    <t>Vijay Reddy</t>
  </si>
  <si>
    <t>E012</t>
  </si>
  <si>
    <t>Ananya Singh</t>
  </si>
  <si>
    <t>E013</t>
  </si>
  <si>
    <t>Suresh Kumar</t>
  </si>
  <si>
    <t>E014</t>
  </si>
  <si>
    <t>Meera Iyer</t>
  </si>
  <si>
    <t>Deepak Patel</t>
  </si>
  <si>
    <t>E016</t>
  </si>
  <si>
    <t>Kavita Sharma</t>
  </si>
  <si>
    <t>E017</t>
  </si>
  <si>
    <t>Arun Bose</t>
  </si>
  <si>
    <t>E018</t>
  </si>
  <si>
    <t>Ritu Saxena</t>
  </si>
  <si>
    <t>E019</t>
  </si>
  <si>
    <t>Manish Dubey</t>
  </si>
  <si>
    <t>E020</t>
  </si>
  <si>
    <t>Swati Jain</t>
  </si>
  <si>
    <t>E021</t>
  </si>
  <si>
    <t>Harish Rao</t>
  </si>
  <si>
    <t>E022</t>
  </si>
  <si>
    <t>Preeti Desai</t>
  </si>
  <si>
    <t>E023</t>
  </si>
  <si>
    <t>Sunil Mishra</t>
  </si>
  <si>
    <t>E024</t>
  </si>
  <si>
    <t>Anjali Sinha</t>
  </si>
  <si>
    <t>E025</t>
  </si>
  <si>
    <t>Tushar More</t>
  </si>
  <si>
    <t>E026</t>
  </si>
  <si>
    <t>Leela Nambiar</t>
  </si>
  <si>
    <t>E027</t>
  </si>
  <si>
    <t>Aditya Roy</t>
  </si>
  <si>
    <t>E028</t>
  </si>
  <si>
    <t>Sunita Choudhary</t>
  </si>
  <si>
    <t>E029</t>
  </si>
  <si>
    <t>E030</t>
  </si>
  <si>
    <t>Bhavna Pillai</t>
  </si>
  <si>
    <t>⚠  Edge Cases: Rows 12, 22, 30 have blank Salary | Row 16: Duplicate Emp_ID E014 | Row 29: Duplicate Name 'Priya Mehta'</t>
  </si>
  <si>
    <t>📋  HLOOKUP REFERENCE TABLE — Performance Rating Scale</t>
  </si>
  <si>
    <t>Rating →</t>
  </si>
  <si>
    <t>Grade</t>
  </si>
  <si>
    <t>Poor</t>
  </si>
  <si>
    <t>Fair</t>
  </si>
  <si>
    <t>Average</t>
  </si>
  <si>
    <t>Good</t>
  </si>
  <si>
    <t>Excellent</t>
  </si>
  <si>
    <t>Bonus %</t>
  </si>
  <si>
    <t>0%</t>
  </si>
  <si>
    <t>5%</t>
  </si>
  <si>
    <t>10%</t>
  </si>
  <si>
    <t>15%</t>
  </si>
  <si>
    <t>20%</t>
  </si>
  <si>
    <t>✅  SOLUTION SHEET — VLOOKUP · HLOOKUP · INDEX · MATCH · INDEX-MATCH</t>
  </si>
  <si>
    <t>📌 VLOOKUP</t>
  </si>
  <si>
    <t>Task Description</t>
  </si>
  <si>
    <t>Formula</t>
  </si>
  <si>
    <t>Live Result</t>
  </si>
  <si>
    <t>Look up Department for E005</t>
  </si>
  <si>
    <t>Look up Salary for E012</t>
  </si>
  <si>
    <t>Look up Performance Rating for E020</t>
  </si>
  <si>
    <t>📌 HLOOKUP</t>
  </si>
  <si>
    <t>Get Grade for Rating = 4</t>
  </si>
  <si>
    <t>Get Bonus% for Rating = 2</t>
  </si>
  <si>
    <t>Get Grade for Rating = 5</t>
  </si>
  <si>
    <t>📌 INDEX</t>
  </si>
  <si>
    <t>Return Salary of 3rd employee</t>
  </si>
  <si>
    <t>Return Employee Name at row 7</t>
  </si>
  <si>
    <t>Return Department of 15th employee</t>
  </si>
  <si>
    <t>📌 MATCH</t>
  </si>
  <si>
    <t>Find position of Emp_ID E010</t>
  </si>
  <si>
    <t>Find position of Department 'Finance'</t>
  </si>
  <si>
    <t>Find position of highest salary</t>
  </si>
  <si>
    <t>📌 INDEX-MATCH</t>
  </si>
  <si>
    <t>Get Salary for employee 'Neha Gupta'</t>
  </si>
  <si>
    <t>Get Department for employee 'Vijay Reddy'</t>
  </si>
  <si>
    <t>Get Name of highest-paid employee</t>
  </si>
  <si>
    <t>Get Emp_ID for employee 'Kavita Sharma'</t>
  </si>
  <si>
    <t>📝  PRACTICE TASKS — HR EMPLOYEE RECORDS  |  VLOOKUP · HLOOKUP · INDEX · MATCH · INDEX-MATCH</t>
  </si>
  <si>
    <t>Instructions: Write your Excel formulas in Column E. Refer to HR_Data sheet for data. HLOOKUP reference table starts at row 36 on HR_Data sheet.</t>
  </si>
  <si>
    <t>#</t>
  </si>
  <si>
    <t>Topic</t>
  </si>
  <si>
    <t>Task</t>
  </si>
  <si>
    <t>Expected Output</t>
  </si>
  <si>
    <t>Your Answer</t>
  </si>
  <si>
    <t>VLOOKUP</t>
  </si>
  <si>
    <t>Use VLOOKUP to find the Department of employee with Emp_ID = 'E003'.</t>
  </si>
  <si>
    <t>IT / HR / Finance etc.</t>
  </si>
  <si>
    <t>Use VLOOKUP to retrieve the Salary of employee with Emp_ID = 'E007'.</t>
  </si>
  <si>
    <t>₹ value</t>
  </si>
  <si>
    <t>Use VLOOKUP to get the Performance Rating of Emp_ID = 'E015'.</t>
  </si>
  <si>
    <t>1–5</t>
  </si>
  <si>
    <t>HLOOKUP</t>
  </si>
  <si>
    <t>Use HLOOKUP on the Rating Scale Reference Table to find the Grade for a Performance Rating of 3.</t>
  </si>
  <si>
    <t>'Average'</t>
  </si>
  <si>
    <t>Use HLOOKUP to find the Bonus % for a Performance Rating of 5.</t>
  </si>
  <si>
    <t>'20%'</t>
  </si>
  <si>
    <t>Use HLOOKUP to find the Grade for a Performance Rating of 1.</t>
  </si>
  <si>
    <t>'Poor'</t>
  </si>
  <si>
    <t>INDEX-MATCH</t>
  </si>
  <si>
    <t>Use INDEX-MATCH to find the Salary of employee named 'Rohan Kapoor'.</t>
  </si>
  <si>
    <t>Use INDEX-MATCH to find the Department of 'Kavita Sharma'.</t>
  </si>
  <si>
    <t>Department name</t>
  </si>
  <si>
    <t>Use INDEX-MATCH to find the Performance Rating of employee 'Suresh Kumar'.</t>
  </si>
  <si>
    <t>Use IFERROR + INDEX-MATCH to search for an employee named 'Ravi Kumar' (not in data). Return 'Employee Not Found'.</t>
  </si>
  <si>
    <t>'Employee Not Found'</t>
  </si>
  <si>
    <t>📖  QUICK REFERENCE CARD — VLOOKUP · HLOOKUP · INDEX · MATCH · INDEX-MATCH</t>
  </si>
  <si>
    <t>Function</t>
  </si>
  <si>
    <t>Syntax</t>
  </si>
  <si>
    <t>HR Example</t>
  </si>
  <si>
    <t>Key Notes</t>
  </si>
  <si>
    <t xml:space="preserve"> =VLOOKUP(lookup_val, table_array, col_index, [range_lookup])</t>
  </si>
  <si>
    <t xml:space="preserve"> =VLOOKUP("E005",HR_Data!$A$3:$E$32,3,FALSE)</t>
  </si>
  <si>
    <t>col_index: 1=ID, 2=Name, 3=Dept, 4=Salary, 5=Rating. Always use FALSE for exact match.</t>
  </si>
  <si>
    <t xml:space="preserve"> =HLOOKUP(lookup_val, table_array, row_index, [range_lookup])</t>
  </si>
  <si>
    <t xml:space="preserve"> =HLOOKUP(4,HR_Data!$B$36:$F$37,2,FALSE)</t>
  </si>
  <si>
    <t>Searches across the TOP ROW of table. row_index: 1=Rating, 2=Grade, 3=Bonus%.</t>
  </si>
  <si>
    <t>INDEX</t>
  </si>
  <si>
    <t xml:space="preserve"> =INDEX(array, row_num, [col_num])</t>
  </si>
  <si>
    <t xml:space="preserve"> =INDEX(HR_Data!$D$3:$D$32,5)</t>
  </si>
  <si>
    <t>Returns a value at a given position. Row/col nums are relative to the array, not the sheet.</t>
  </si>
  <si>
    <t>MATCH</t>
  </si>
  <si>
    <t xml:space="preserve"> =MATCH(lookup_val, lookup_array, [match_type])</t>
  </si>
  <si>
    <t xml:space="preserve"> =MATCH("E010",HR_Data!$A$3:$A$32,0)</t>
  </si>
  <si>
    <t>Returns POSITION (number), not value. match_type 0 = exact. Use with INDEX for power lookups.</t>
  </si>
  <si>
    <t xml:space="preserve"> =INDEX(return_range, MATCH(lookup_val, lookup_range, 0))</t>
  </si>
  <si>
    <t xml:space="preserve"> =INDEX(HR_Data!$D$3:$D$32,MATCH("Neha Gupta",HR_Data!$B$3:$B$32,0))</t>
  </si>
  <si>
    <t>Preferred over VLOOKUP. Can look LEFT. Column order doesn't matter. Not affected by inserts.</t>
  </si>
  <si>
    <t>IFERROR + Lookup</t>
  </si>
  <si>
    <t xml:space="preserve"> =IFERROR(your_formula, value_if_error)</t>
  </si>
  <si>
    <t xml:space="preserve"> =IFERROR(VLOOKUP("E099",...),"Not Found")</t>
  </si>
  <si>
    <t>Always wrap lookups in IFERROR for blank cells, missing IDs, or out-of-range values.</t>
  </si>
  <si>
    <t>⚡  VLOOKUP vs INDEX-MATCH — When to Use Which?</t>
  </si>
  <si>
    <t>Feature</t>
  </si>
  <si>
    <t>Lookup direction</t>
  </si>
  <si>
    <t>Left-to-right only</t>
  </si>
  <si>
    <t>Any direction (left, right, up)</t>
  </si>
  <si>
    <t>INDEX-MATCH wins</t>
  </si>
  <si>
    <t>Column insertion</t>
  </si>
  <si>
    <t>Breaks if columns are inserted</t>
  </si>
  <si>
    <t>Robust to column changes</t>
  </si>
  <si>
    <t>Performance</t>
  </si>
  <si>
    <t>Slightly faster on small data</t>
  </si>
  <si>
    <t>Better on large datasets</t>
  </si>
  <si>
    <t>Depends on size</t>
  </si>
  <si>
    <t>Ease of use</t>
  </si>
  <si>
    <t>Simpler to write</t>
  </si>
  <si>
    <t>More complex syntax</t>
  </si>
  <si>
    <t>VLOOKUP wins</t>
  </si>
  <si>
    <t>Duplicate handling</t>
  </si>
  <si>
    <t>Returns first match only</t>
  </si>
  <si>
    <t>Same behaviour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</si>
</sst>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₹&quot;#,##0"/>
  </numFmts>
  <fonts count="24" x14ac:knownFonts="1">
    <font>
      <sz val="11"/>
      <color theme="1"/>
      <name val="Calibri"/>
      <charset val="1"/>
    </font>
    <font>
      <b/>
      <sz val="12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color rgb="FF2E75B6"/>
      <name val="Arial"/>
      <charset val="1"/>
    </font>
    <font>
      <sz val="9"/>
      <color rgb="FFC00000"/>
      <name val="Courier New"/>
      <charset val="1"/>
    </font>
    <font>
      <i/>
      <sz val="9.5"/>
      <color rgb="FF1F1F1F"/>
      <name val="Arial"/>
      <charset val="1"/>
    </font>
    <font>
      <b/>
      <sz val="10"/>
      <color rgb="FF1F7070"/>
      <name val="Arial"/>
      <charset val="1"/>
    </font>
    <font>
      <b/>
      <sz val="10"/>
      <color rgb="FF7030A0"/>
      <name val="Arial"/>
      <charset val="1"/>
    </font>
    <font>
      <b/>
      <sz val="10"/>
      <color rgb="FFC55A11"/>
      <name val="Arial"/>
      <charset val="1"/>
    </font>
    <font>
      <b/>
      <sz val="10"/>
      <color rgb="FF375623"/>
      <name val="Arial"/>
      <charset val="1"/>
    </font>
    <font>
      <b/>
      <sz val="10"/>
      <color rgb="FFC00000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i/>
      <sz val="9.5"/>
      <color rgb="FF595959"/>
      <name val="Arial"/>
      <charset val="1"/>
    </font>
    <font>
      <b/>
      <sz val="10"/>
      <color rgb="FF000000"/>
      <name val="Arial"/>
      <charset val="1"/>
    </font>
    <font>
      <sz val="9.5"/>
      <name val="Arial"/>
      <charset val="1"/>
    </font>
    <font>
      <i/>
      <sz val="9"/>
      <color rgb="FF000000"/>
      <name val="Arial"/>
      <charset val="1"/>
    </font>
    <font>
      <b/>
      <sz val="10"/>
      <color rgb="FF1F3864"/>
      <name val="Arial"/>
      <charset val="1"/>
    </font>
    <font>
      <b/>
      <sz val="13"/>
      <color rgb="FFFFFFFF"/>
      <name val="Arial"/>
      <charset val="1"/>
    </font>
    <font>
      <b/>
      <sz val="10"/>
      <color rgb="FF843C0C"/>
      <name val="Arial"/>
      <charset val="1"/>
    </font>
    <font>
      <b/>
      <sz val="10"/>
      <color rgb="FF7F6000"/>
      <name val="Arial"/>
      <charset val="1"/>
    </font>
    <font>
      <i/>
      <sz val="9"/>
      <color rgb="FFC00000"/>
      <name val="Arial"/>
      <charset val="1"/>
    </font>
    <font>
      <sz val="10"/>
      <color rgb="FF375623"/>
      <name val="Arial"/>
      <charset val="1"/>
    </font>
    <font>
      <sz val="10"/>
      <color rgb="FF2E75B6"/>
      <name val="Arial"/>
      <charset val="1"/>
    </font>
  </fonts>
  <fills count="1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1F7070"/>
      </patternFill>
    </fill>
    <fill>
      <patternFill patternType="solid">
        <fgColor rgb="FFDEEAF1"/>
        <bgColor rgb="FFD4EEEE"/>
      </patternFill>
    </fill>
    <fill>
      <patternFill patternType="solid">
        <fgColor rgb="FFD4EEEE"/>
        <bgColor rgb="FFDEEAF1"/>
      </patternFill>
    </fill>
    <fill>
      <patternFill patternType="solid">
        <fgColor rgb="FFEAD1FF"/>
        <bgColor rgb="FFFFE0E0"/>
      </patternFill>
    </fill>
    <fill>
      <patternFill patternType="solid">
        <fgColor rgb="FFFCE4D6"/>
        <bgColor rgb="FFFFE0E0"/>
      </patternFill>
    </fill>
    <fill>
      <patternFill patternType="solid">
        <fgColor rgb="FFE2EFDA"/>
        <bgColor rgb="FFDEEAF1"/>
      </patternFill>
    </fill>
    <fill>
      <patternFill patternType="solid">
        <fgColor rgb="FFFFE0E0"/>
        <bgColor rgb="FFFCE4D6"/>
      </patternFill>
    </fill>
    <fill>
      <patternFill patternType="solid">
        <fgColor rgb="FFF2F2F2"/>
        <bgColor rgb="FFF0F0F0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F0F0F0"/>
        <bgColor rgb="FFF2F2F2"/>
      </patternFill>
    </fill>
    <fill>
      <patternFill patternType="solid">
        <fgColor rgb="FF1F7070"/>
        <bgColor rgb="FF008080"/>
      </patternFill>
    </fill>
    <fill>
      <patternFill patternType="solid">
        <fgColor rgb="FF7030A0"/>
        <bgColor rgb="FF333399"/>
      </patternFill>
    </fill>
    <fill>
      <patternFill patternType="solid">
        <fgColor rgb="FFC55A11"/>
        <bgColor rgb="FFE97132"/>
      </patternFill>
    </fill>
    <fill>
      <patternFill patternType="solid">
        <fgColor rgb="FF375623"/>
        <bgColor rgb="FF595959"/>
      </patternFill>
    </fill>
  </fills>
  <borders count="3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8" fillId="7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left" vertical="center" wrapText="1"/>
    </xf>
    <xf numFmtId="0" fontId="5" fillId="7" borderId="2" xfId="0" applyFont="1" applyFill="1" applyBorder="1" applyAlignment="1">
      <alignment horizontal="left" vertical="center" wrapText="1"/>
    </xf>
    <xf numFmtId="0" fontId="9" fillId="8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left" vertical="center" wrapText="1"/>
    </xf>
    <xf numFmtId="0" fontId="5" fillId="8" borderId="2" xfId="0" applyFont="1" applyFill="1" applyBorder="1" applyAlignment="1">
      <alignment horizontal="left" vertical="center" wrapText="1"/>
    </xf>
    <xf numFmtId="0" fontId="10" fillId="9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left" vertical="center" wrapText="1"/>
    </xf>
    <xf numFmtId="0" fontId="5" fillId="9" borderId="2" xfId="0" applyFont="1" applyFill="1" applyBorder="1" applyAlignment="1">
      <alignment horizontal="left" vertical="center" wrapText="1"/>
    </xf>
    <xf numFmtId="0" fontId="11" fillId="3" borderId="2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left" vertical="center"/>
    </xf>
    <xf numFmtId="0" fontId="12" fillId="10" borderId="2" xfId="0" applyFont="1" applyFill="1" applyBorder="1" applyAlignment="1">
      <alignment horizontal="center" vertical="center"/>
    </xf>
    <xf numFmtId="0" fontId="12" fillId="10" borderId="2" xfId="0" applyFont="1" applyFill="1" applyBorder="1" applyAlignment="1">
      <alignment horizontal="left" vertical="center"/>
    </xf>
    <xf numFmtId="0" fontId="12" fillId="11" borderId="2" xfId="0" applyFont="1" applyFill="1" applyBorder="1" applyAlignment="1">
      <alignment horizontal="center" vertical="center"/>
    </xf>
    <xf numFmtId="0" fontId="12" fillId="11" borderId="2" xfId="0" applyFont="1" applyFill="1" applyBorder="1" applyAlignment="1">
      <alignment horizontal="left" vertical="center"/>
    </xf>
    <xf numFmtId="0" fontId="14" fillId="4" borderId="2" xfId="0" applyFont="1" applyFill="1" applyBorder="1" applyAlignment="1">
      <alignment horizontal="center" vertical="center"/>
    </xf>
    <xf numFmtId="0" fontId="15" fillId="10" borderId="2" xfId="0" applyFont="1" applyFill="1" applyBorder="1" applyAlignment="1">
      <alignment horizontal="left" vertical="center" wrapText="1"/>
    </xf>
    <xf numFmtId="0" fontId="16" fillId="13" borderId="2" xfId="0" applyFont="1" applyFill="1" applyBorder="1" applyAlignment="1">
      <alignment horizontal="left" vertical="center"/>
    </xf>
    <xf numFmtId="0" fontId="0" fillId="12" borderId="2" xfId="0" applyFill="1" applyBorder="1"/>
    <xf numFmtId="0" fontId="15" fillId="11" borderId="2" xfId="0" applyFont="1" applyFill="1" applyBorder="1" applyAlignment="1">
      <alignment horizontal="left" vertical="center" wrapText="1"/>
    </xf>
    <xf numFmtId="0" fontId="17" fillId="4" borderId="2" xfId="0" applyFont="1" applyFill="1" applyBorder="1" applyAlignment="1">
      <alignment horizontal="center" vertical="center"/>
    </xf>
    <xf numFmtId="0" fontId="4" fillId="12" borderId="2" xfId="0" applyFont="1" applyFill="1" applyBorder="1" applyAlignment="1">
      <alignment horizontal="left" vertical="center"/>
    </xf>
    <xf numFmtId="0" fontId="14" fillId="8" borderId="2" xfId="0" applyFont="1" applyFill="1" applyBorder="1" applyAlignment="1">
      <alignment horizontal="center" vertical="center"/>
    </xf>
    <xf numFmtId="164" fontId="14" fillId="8" borderId="2" xfId="0" applyNumberFormat="1" applyFont="1" applyFill="1" applyBorder="1" applyAlignment="1">
      <alignment horizontal="center" vertical="center"/>
    </xf>
    <xf numFmtId="164" fontId="4" fillId="12" borderId="2" xfId="0" applyNumberFormat="1" applyFont="1" applyFill="1" applyBorder="1" applyAlignment="1">
      <alignment horizontal="left" vertical="center"/>
    </xf>
    <xf numFmtId="164" fontId="12" fillId="10" borderId="2" xfId="0" applyNumberFormat="1" applyFont="1" applyFill="1" applyBorder="1" applyAlignment="1">
      <alignment horizontal="center" vertical="center"/>
    </xf>
    <xf numFmtId="164" fontId="12" fillId="11" borderId="2" xfId="0" applyNumberFormat="1" applyFont="1" applyFill="1" applyBorder="1" applyAlignment="1">
      <alignment horizontal="center" vertical="center"/>
    </xf>
    <xf numFmtId="0" fontId="19" fillId="7" borderId="2" xfId="0" applyFont="1" applyFill="1" applyBorder="1" applyAlignment="1">
      <alignment horizontal="center" vertical="center"/>
    </xf>
    <xf numFmtId="0" fontId="20" fillId="12" borderId="2" xfId="0" applyFont="1" applyFill="1" applyBorder="1" applyAlignment="1">
      <alignment horizontal="center" vertical="center"/>
    </xf>
    <xf numFmtId="0" fontId="10" fillId="11" borderId="2" xfId="0" applyFont="1" applyFill="1" applyBorder="1" applyAlignment="1">
      <alignment horizontal="center" vertical="center"/>
    </xf>
    <xf numFmtId="0" fontId="14" fillId="10" borderId="2" xfId="0" applyFont="1" applyFill="1" applyBorder="1" applyAlignment="1">
      <alignment horizontal="center" vertical="center"/>
    </xf>
    <xf numFmtId="0" fontId="22" fillId="8" borderId="2" xfId="0" applyFont="1" applyFill="1" applyBorder="1" applyAlignment="1">
      <alignment horizontal="center" vertical="center"/>
    </xf>
    <xf numFmtId="0" fontId="23" fillId="4" borderId="2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21" fillId="9" borderId="0" xfId="0" applyFont="1" applyFill="1" applyAlignment="1">
      <alignment horizontal="left" vertical="center"/>
    </xf>
    <xf numFmtId="0" fontId="11" fillId="14" borderId="1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13" fillId="1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7F6000"/>
      <rgbColor rgb="00800080"/>
      <rgbColor rgb="001F7070"/>
      <rgbColor rgb="00BFBFBF"/>
      <rgbColor rgb="00808080"/>
      <rgbColor rgb="009999FF"/>
      <rgbColor rgb="007030A0"/>
      <rgbColor rgb="00FFF2CC"/>
      <rgbColor rgb="00D4EEEE"/>
      <rgbColor rgb="00660066"/>
      <rgbColor rgb="00FF8080"/>
      <rgbColor rgb="000066CC"/>
      <rgbColor rgb="00EAD1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EEAF1"/>
      <rgbColor rgb="00E2EFDA"/>
      <rgbColor rgb="00F2F2F2"/>
      <rgbColor rgb="00F0F0F0"/>
      <rgbColor rgb="00FFE0E0"/>
      <rgbColor rgb="00CC99FF"/>
      <rgbColor rgb="00FCE4D6"/>
      <rgbColor rgb="002E75B6"/>
      <rgbColor rgb="0033CCCC"/>
      <rgbColor rgb="0099CC00"/>
      <rgbColor rgb="00FFCC00"/>
      <rgbColor rgb="00FF9900"/>
      <rgbColor rgb="00E97132"/>
      <rgbColor rgb="00595959"/>
      <rgbColor rgb="00969696"/>
      <rgbColor rgb="001F3864"/>
      <rgbColor rgb="00339966"/>
      <rgbColor rgb="00003300"/>
      <rgbColor rgb="00375623"/>
      <rgbColor rgb="00843C0C"/>
      <rgbColor rgb="00C55A11"/>
      <rgbColor rgb="00333399"/>
      <rgbColor rgb="00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75B6"/>
  </sheetPr>
  <dimension ref="A1:F38"/>
  <sheetViews>
    <sheetView zoomScale="125" zoomScaleNormal="42" workbookViewId="0">
      <pane ySplit="2" topLeftCell="A3" activePane="bottomLeft" state="frozen"/>
      <selection pane="bottomLeft" activeCell="B2" sqref="B2"/>
    </sheetView>
  </sheetViews>
  <sheetFormatPr defaultColWidth="8.6640625" defaultRowHeight="14.4" x14ac:dyDescent="0.3"/>
  <cols>
    <col min="1" max="1" width="12" customWidth="1"/>
    <col min="2" max="2" width="22" customWidth="1"/>
    <col min="3" max="4" width="14" customWidth="1"/>
    <col min="5" max="5" width="26" customWidth="1"/>
    <col min="6" max="6" width="12" customWidth="1"/>
  </cols>
  <sheetData>
    <row r="1" spans="1:5" ht="30" customHeight="1" x14ac:dyDescent="0.3">
      <c r="A1" s="44" t="s">
        <v>0</v>
      </c>
      <c r="B1" s="44"/>
      <c r="C1" s="44"/>
      <c r="D1" s="44"/>
      <c r="E1" s="44"/>
    </row>
    <row r="2" spans="1:5" ht="21.7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18.75" customHeight="1" x14ac:dyDescent="0.3">
      <c r="A3" s="22" t="s">
        <v>6</v>
      </c>
      <c r="B3" s="23" t="s">
        <v>7</v>
      </c>
      <c r="C3" s="22" t="s">
        <v>8</v>
      </c>
      <c r="D3" s="36">
        <v>87950</v>
      </c>
      <c r="E3" s="14">
        <v>4</v>
      </c>
    </row>
    <row r="4" spans="1:5" ht="18.75" customHeight="1" x14ac:dyDescent="0.3">
      <c r="A4" s="24" t="s">
        <v>9</v>
      </c>
      <c r="B4" s="25" t="s">
        <v>10</v>
      </c>
      <c r="C4" s="24" t="s">
        <v>11</v>
      </c>
      <c r="D4" s="37">
        <v>61224</v>
      </c>
      <c r="E4" s="31">
        <v>5</v>
      </c>
    </row>
    <row r="5" spans="1:5" ht="18.75" customHeight="1" x14ac:dyDescent="0.3">
      <c r="A5" s="22" t="s">
        <v>12</v>
      </c>
      <c r="B5" s="23" t="s">
        <v>13</v>
      </c>
      <c r="C5" s="22" t="s">
        <v>14</v>
      </c>
      <c r="D5" s="36">
        <v>58435</v>
      </c>
      <c r="E5" s="38">
        <v>2</v>
      </c>
    </row>
    <row r="6" spans="1:5" ht="18.75" customHeight="1" x14ac:dyDescent="0.3">
      <c r="A6" s="24" t="s">
        <v>15</v>
      </c>
      <c r="B6" s="25" t="s">
        <v>16</v>
      </c>
      <c r="C6" s="24" t="s">
        <v>17</v>
      </c>
      <c r="D6" s="37">
        <v>67562</v>
      </c>
      <c r="E6" s="38">
        <v>2</v>
      </c>
    </row>
    <row r="7" spans="1:5" ht="18.75" customHeight="1" x14ac:dyDescent="0.3">
      <c r="A7" s="22" t="s">
        <v>18</v>
      </c>
      <c r="B7" s="23" t="s">
        <v>19</v>
      </c>
      <c r="C7" s="22" t="s">
        <v>20</v>
      </c>
      <c r="D7" s="36">
        <v>46348</v>
      </c>
      <c r="E7" s="39">
        <v>3</v>
      </c>
    </row>
    <row r="8" spans="1:5" ht="18.75" customHeight="1" x14ac:dyDescent="0.3">
      <c r="A8" s="24" t="s">
        <v>21</v>
      </c>
      <c r="B8" s="25" t="s">
        <v>22</v>
      </c>
      <c r="C8" s="24" t="s">
        <v>8</v>
      </c>
      <c r="D8" s="37">
        <v>85209</v>
      </c>
      <c r="E8" s="31">
        <v>5</v>
      </c>
    </row>
    <row r="9" spans="1:5" ht="18.75" customHeight="1" x14ac:dyDescent="0.3">
      <c r="A9" s="22" t="s">
        <v>23</v>
      </c>
      <c r="B9" s="23" t="s">
        <v>24</v>
      </c>
      <c r="C9" s="22" t="s">
        <v>11</v>
      </c>
      <c r="D9" s="36">
        <v>105599</v>
      </c>
      <c r="E9" s="17">
        <v>1</v>
      </c>
    </row>
    <row r="10" spans="1:5" ht="18.75" customHeight="1" x14ac:dyDescent="0.3">
      <c r="A10" s="24" t="s">
        <v>25</v>
      </c>
      <c r="B10" s="25" t="s">
        <v>26</v>
      </c>
      <c r="C10" s="24" t="s">
        <v>14</v>
      </c>
      <c r="D10" s="37">
        <v>116778</v>
      </c>
      <c r="E10" s="14">
        <v>4</v>
      </c>
    </row>
    <row r="11" spans="1:5" ht="18.75" customHeight="1" x14ac:dyDescent="0.3">
      <c r="A11" s="22" t="s">
        <v>27</v>
      </c>
      <c r="B11" s="23" t="s">
        <v>28</v>
      </c>
      <c r="C11" s="22" t="s">
        <v>17</v>
      </c>
      <c r="D11" s="36">
        <v>61144</v>
      </c>
      <c r="E11" s="14">
        <v>4</v>
      </c>
    </row>
    <row r="12" spans="1:5" ht="18.75" customHeight="1" x14ac:dyDescent="0.3">
      <c r="A12" s="24" t="s">
        <v>29</v>
      </c>
      <c r="B12" s="25" t="s">
        <v>30</v>
      </c>
      <c r="C12" s="24" t="s">
        <v>20</v>
      </c>
      <c r="D12" s="24"/>
      <c r="E12" s="31">
        <v>5</v>
      </c>
    </row>
    <row r="13" spans="1:5" ht="18.75" customHeight="1" x14ac:dyDescent="0.3">
      <c r="A13" s="22" t="s">
        <v>31</v>
      </c>
      <c r="B13" s="23" t="s">
        <v>32</v>
      </c>
      <c r="C13" s="22" t="s">
        <v>8</v>
      </c>
      <c r="D13" s="36">
        <v>112123</v>
      </c>
      <c r="E13" s="38">
        <v>2</v>
      </c>
    </row>
    <row r="14" spans="1:5" ht="18.75" customHeight="1" x14ac:dyDescent="0.3">
      <c r="A14" s="24" t="s">
        <v>33</v>
      </c>
      <c r="B14" s="25" t="s">
        <v>34</v>
      </c>
      <c r="C14" s="24" t="s">
        <v>11</v>
      </c>
      <c r="D14" s="37">
        <v>84018</v>
      </c>
      <c r="E14" s="14">
        <v>4</v>
      </c>
    </row>
    <row r="15" spans="1:5" ht="18.75" customHeight="1" x14ac:dyDescent="0.3">
      <c r="A15" s="22" t="s">
        <v>35</v>
      </c>
      <c r="B15" s="23" t="s">
        <v>36</v>
      </c>
      <c r="C15" s="22" t="s">
        <v>14</v>
      </c>
      <c r="D15" s="36">
        <v>62864</v>
      </c>
      <c r="E15" s="38">
        <v>2</v>
      </c>
    </row>
    <row r="16" spans="1:5" ht="18.75" customHeight="1" x14ac:dyDescent="0.3">
      <c r="A16" s="40" t="s">
        <v>37</v>
      </c>
      <c r="B16" s="25" t="s">
        <v>38</v>
      </c>
      <c r="C16" s="24" t="s">
        <v>17</v>
      </c>
      <c r="D16" s="37">
        <v>95487</v>
      </c>
      <c r="E16" s="38">
        <v>2</v>
      </c>
    </row>
    <row r="17" spans="1:5" ht="18.75" customHeight="1" x14ac:dyDescent="0.3">
      <c r="A17" s="22" t="s">
        <v>37</v>
      </c>
      <c r="B17" s="23" t="s">
        <v>39</v>
      </c>
      <c r="C17" s="22" t="s">
        <v>20</v>
      </c>
      <c r="D17" s="36">
        <v>109306</v>
      </c>
      <c r="E17" s="39">
        <v>3</v>
      </c>
    </row>
    <row r="18" spans="1:5" ht="18.75" customHeight="1" x14ac:dyDescent="0.3">
      <c r="A18" s="24" t="s">
        <v>40</v>
      </c>
      <c r="B18" s="25" t="s">
        <v>41</v>
      </c>
      <c r="C18" s="24" t="s">
        <v>8</v>
      </c>
      <c r="D18" s="37">
        <v>45874</v>
      </c>
      <c r="E18" s="31">
        <v>5</v>
      </c>
    </row>
    <row r="19" spans="1:5" ht="18.75" customHeight="1" x14ac:dyDescent="0.3">
      <c r="A19" s="22" t="s">
        <v>42</v>
      </c>
      <c r="B19" s="23" t="s">
        <v>43</v>
      </c>
      <c r="C19" s="22" t="s">
        <v>11</v>
      </c>
      <c r="D19" s="36">
        <v>46508</v>
      </c>
      <c r="E19" s="14">
        <v>4</v>
      </c>
    </row>
    <row r="20" spans="1:5" ht="18.75" customHeight="1" x14ac:dyDescent="0.3">
      <c r="A20" s="24" t="s">
        <v>44</v>
      </c>
      <c r="B20" s="25" t="s">
        <v>45</v>
      </c>
      <c r="C20" s="24" t="s">
        <v>14</v>
      </c>
      <c r="D20" s="37">
        <v>76468</v>
      </c>
      <c r="E20" s="14">
        <v>4</v>
      </c>
    </row>
    <row r="21" spans="1:5" ht="18.75" customHeight="1" x14ac:dyDescent="0.3">
      <c r="A21" s="22" t="s">
        <v>46</v>
      </c>
      <c r="B21" s="23" t="s">
        <v>47</v>
      </c>
      <c r="C21" s="22" t="s">
        <v>17</v>
      </c>
      <c r="D21" s="36">
        <v>40590</v>
      </c>
      <c r="E21" s="39">
        <v>3</v>
      </c>
    </row>
    <row r="22" spans="1:5" ht="18.75" customHeight="1" x14ac:dyDescent="0.3">
      <c r="A22" s="24" t="s">
        <v>48</v>
      </c>
      <c r="B22" s="25" t="s">
        <v>49</v>
      </c>
      <c r="C22" s="24" t="s">
        <v>20</v>
      </c>
      <c r="D22" s="24"/>
      <c r="E22" s="31">
        <v>5</v>
      </c>
    </row>
    <row r="23" spans="1:5" ht="18.75" customHeight="1" x14ac:dyDescent="0.3">
      <c r="A23" s="22" t="s">
        <v>50</v>
      </c>
      <c r="B23" s="23" t="s">
        <v>51</v>
      </c>
      <c r="C23" s="22" t="s">
        <v>8</v>
      </c>
      <c r="D23" s="36">
        <v>35998</v>
      </c>
      <c r="E23" s="14">
        <v>4</v>
      </c>
    </row>
    <row r="24" spans="1:5" ht="18.75" customHeight="1" x14ac:dyDescent="0.3">
      <c r="A24" s="24" t="s">
        <v>52</v>
      </c>
      <c r="B24" s="25" t="s">
        <v>53</v>
      </c>
      <c r="C24" s="24" t="s">
        <v>11</v>
      </c>
      <c r="D24" s="37">
        <v>61707</v>
      </c>
      <c r="E24" s="39">
        <v>3</v>
      </c>
    </row>
    <row r="25" spans="1:5" ht="18.75" customHeight="1" x14ac:dyDescent="0.3">
      <c r="A25" s="22" t="s">
        <v>54</v>
      </c>
      <c r="B25" s="23" t="s">
        <v>55</v>
      </c>
      <c r="C25" s="22" t="s">
        <v>14</v>
      </c>
      <c r="D25" s="36">
        <v>105033</v>
      </c>
      <c r="E25" s="17">
        <v>1</v>
      </c>
    </row>
    <row r="26" spans="1:5" ht="18.75" customHeight="1" x14ac:dyDescent="0.3">
      <c r="A26" s="24" t="s">
        <v>56</v>
      </c>
      <c r="B26" s="25" t="s">
        <v>57</v>
      </c>
      <c r="C26" s="24" t="s">
        <v>17</v>
      </c>
      <c r="D26" s="37">
        <v>95566</v>
      </c>
      <c r="E26" s="31">
        <v>5</v>
      </c>
    </row>
    <row r="27" spans="1:5" ht="18.75" customHeight="1" x14ac:dyDescent="0.3">
      <c r="A27" s="22" t="s">
        <v>58</v>
      </c>
      <c r="B27" s="23" t="s">
        <v>59</v>
      </c>
      <c r="C27" s="22" t="s">
        <v>20</v>
      </c>
      <c r="D27" s="36">
        <v>60962</v>
      </c>
      <c r="E27" s="31">
        <v>5</v>
      </c>
    </row>
    <row r="28" spans="1:5" ht="18.75" customHeight="1" x14ac:dyDescent="0.3">
      <c r="A28" s="24" t="s">
        <v>60</v>
      </c>
      <c r="B28" s="25" t="s">
        <v>61</v>
      </c>
      <c r="C28" s="24" t="s">
        <v>8</v>
      </c>
      <c r="D28" s="37">
        <v>95647</v>
      </c>
      <c r="E28" s="17">
        <v>1</v>
      </c>
    </row>
    <row r="29" spans="1:5" ht="18.75" customHeight="1" x14ac:dyDescent="0.3">
      <c r="A29" s="22" t="s">
        <v>62</v>
      </c>
      <c r="B29" s="23" t="s">
        <v>63</v>
      </c>
      <c r="C29" s="22" t="s">
        <v>11</v>
      </c>
      <c r="D29" s="36">
        <v>81861</v>
      </c>
      <c r="E29" s="38">
        <v>2</v>
      </c>
    </row>
    <row r="30" spans="1:5" ht="18.75" customHeight="1" x14ac:dyDescent="0.3">
      <c r="A30" s="24" t="s">
        <v>64</v>
      </c>
      <c r="B30" s="25" t="s">
        <v>65</v>
      </c>
      <c r="C30" s="24" t="s">
        <v>14</v>
      </c>
      <c r="D30" s="24"/>
      <c r="E30" s="38">
        <v>2</v>
      </c>
    </row>
    <row r="31" spans="1:5" ht="18.75" customHeight="1" x14ac:dyDescent="0.3">
      <c r="A31" s="22" t="s">
        <v>66</v>
      </c>
      <c r="B31" s="23" t="s">
        <v>10</v>
      </c>
      <c r="C31" s="22" t="s">
        <v>17</v>
      </c>
      <c r="D31" s="36">
        <v>56077</v>
      </c>
      <c r="E31" s="14">
        <v>4</v>
      </c>
    </row>
    <row r="32" spans="1:5" ht="18.75" customHeight="1" x14ac:dyDescent="0.3">
      <c r="A32" s="24" t="s">
        <v>67</v>
      </c>
      <c r="B32" s="25" t="s">
        <v>68</v>
      </c>
      <c r="C32" s="24" t="s">
        <v>20</v>
      </c>
      <c r="D32" s="37">
        <v>113042</v>
      </c>
      <c r="E32" s="38">
        <v>2</v>
      </c>
    </row>
    <row r="33" spans="1:6" ht="18" customHeight="1" x14ac:dyDescent="0.3">
      <c r="A33" s="45" t="s">
        <v>69</v>
      </c>
      <c r="B33" s="45"/>
      <c r="C33" s="45"/>
      <c r="D33" s="45"/>
      <c r="E33" s="45"/>
    </row>
    <row r="35" spans="1:6" ht="21.75" customHeight="1" x14ac:dyDescent="0.3">
      <c r="A35" s="46" t="s">
        <v>70</v>
      </c>
      <c r="B35" s="46"/>
      <c r="C35" s="46"/>
      <c r="D35" s="46"/>
      <c r="E35" s="46"/>
      <c r="F35" s="46"/>
    </row>
    <row r="36" spans="1:6" ht="19.5" customHeight="1" x14ac:dyDescent="0.3">
      <c r="A36" s="20" t="s">
        <v>71</v>
      </c>
      <c r="B36" s="20">
        <v>1</v>
      </c>
      <c r="C36" s="20">
        <v>2</v>
      </c>
      <c r="D36" s="20">
        <v>3</v>
      </c>
      <c r="E36" s="20">
        <v>4</v>
      </c>
      <c r="F36" s="20">
        <v>5</v>
      </c>
    </row>
    <row r="37" spans="1:6" ht="19.5" customHeight="1" x14ac:dyDescent="0.3">
      <c r="A37" s="41" t="s">
        <v>72</v>
      </c>
      <c r="B37" s="42" t="s">
        <v>73</v>
      </c>
      <c r="C37" s="42" t="s">
        <v>74</v>
      </c>
      <c r="D37" s="42" t="s">
        <v>75</v>
      </c>
      <c r="E37" s="42" t="s">
        <v>76</v>
      </c>
      <c r="F37" s="42" t="s">
        <v>77</v>
      </c>
    </row>
    <row r="38" spans="1:6" ht="19.5" customHeight="1" x14ac:dyDescent="0.3">
      <c r="A38" s="41" t="s">
        <v>78</v>
      </c>
      <c r="B38" s="43" t="s">
        <v>79</v>
      </c>
      <c r="C38" s="43" t="s">
        <v>80</v>
      </c>
      <c r="D38" s="43" t="s">
        <v>81</v>
      </c>
      <c r="E38" s="43" t="s">
        <v>82</v>
      </c>
      <c r="F38" s="43" t="s">
        <v>83</v>
      </c>
    </row>
  </sheetData>
  <mergeCells count="3">
    <mergeCell ref="A1:E1"/>
    <mergeCell ref="A33:E33"/>
    <mergeCell ref="A35:F3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75623"/>
  </sheetPr>
  <dimension ref="A1:C31"/>
  <sheetViews>
    <sheetView topLeftCell="B12" zoomScale="53" zoomScaleNormal="53" workbookViewId="0">
      <selection activeCell="C31" sqref="C31"/>
    </sheetView>
  </sheetViews>
  <sheetFormatPr defaultColWidth="8.6640625" defaultRowHeight="14.4" x14ac:dyDescent="0.3"/>
  <cols>
    <col min="1" max="1" width="35" customWidth="1"/>
    <col min="2" max="2" width="54" customWidth="1"/>
    <col min="3" max="3" width="20" customWidth="1"/>
  </cols>
  <sheetData>
    <row r="1" spans="1:3" ht="30" customHeight="1" x14ac:dyDescent="0.3">
      <c r="A1" s="48" t="s">
        <v>84</v>
      </c>
      <c r="B1" s="48"/>
      <c r="C1" s="48"/>
    </row>
    <row r="2" spans="1:3" ht="24" customHeight="1" x14ac:dyDescent="0.3">
      <c r="A2" s="49" t="s">
        <v>85</v>
      </c>
      <c r="B2" s="49"/>
      <c r="C2" s="49"/>
    </row>
    <row r="3" spans="1:3" ht="19.5" customHeight="1" x14ac:dyDescent="0.3">
      <c r="A3" s="31" t="s">
        <v>86</v>
      </c>
      <c r="B3" s="31" t="s">
        <v>87</v>
      </c>
      <c r="C3" s="31" t="s">
        <v>88</v>
      </c>
    </row>
    <row r="4" spans="1:3" ht="21.75" customHeight="1" x14ac:dyDescent="0.3">
      <c r="A4" s="23" t="s">
        <v>89</v>
      </c>
      <c r="B4" s="32" t="str">
        <f>VLOOKUP("E005",HR_Data!$A$3:$E$32,3,FALSE())</f>
        <v>Operations</v>
      </c>
      <c r="C4" s="33" t="str">
        <f>VLOOKUP("E005",HR_Data!$A$3:$E$32,3,FALSE())</f>
        <v>Operations</v>
      </c>
    </row>
    <row r="5" spans="1:3" ht="21.75" customHeight="1" x14ac:dyDescent="0.3">
      <c r="A5" s="23" t="s">
        <v>90</v>
      </c>
      <c r="B5" s="32">
        <f>IFERROR(VLOOKUP("E012",HR_Data!$A$3:$E$32,4,FALSE()),"Not Found")</f>
        <v>84018</v>
      </c>
      <c r="C5" s="34">
        <f>IFERROR(VLOOKUP("E012",HR_Data!$A$3:$E$32,4,FALSE()),"Not Found")</f>
        <v>84018</v>
      </c>
    </row>
    <row r="6" spans="1:3" ht="21.75" customHeight="1" x14ac:dyDescent="0.3">
      <c r="A6" s="23" t="s">
        <v>91</v>
      </c>
      <c r="B6" s="32">
        <f>IFERROR(VLOOKUP("E020",HR_Data!$A$3:$E$32,5,FALSE()),"Blank")</f>
        <v>5</v>
      </c>
      <c r="C6" s="33">
        <f>IFERROR(VLOOKUP("E020",HR_Data!$A$3:$E$32,5,FALSE()),"Blank")</f>
        <v>5</v>
      </c>
    </row>
    <row r="8" spans="1:3" ht="24" customHeight="1" x14ac:dyDescent="0.3">
      <c r="A8" s="50" t="s">
        <v>92</v>
      </c>
      <c r="B8" s="50"/>
      <c r="C8" s="50"/>
    </row>
    <row r="9" spans="1:3" ht="19.5" customHeight="1" x14ac:dyDescent="0.3">
      <c r="A9" s="31" t="s">
        <v>86</v>
      </c>
      <c r="B9" s="31" t="s">
        <v>87</v>
      </c>
      <c r="C9" s="31" t="s">
        <v>88</v>
      </c>
    </row>
    <row r="10" spans="1:3" ht="21.75" customHeight="1" x14ac:dyDescent="0.3">
      <c r="A10" s="23" t="s">
        <v>93</v>
      </c>
      <c r="B10" s="32" t="str">
        <f>HLOOKUP(4,HR_Data!$B$36:$F$37,2,FALSE())</f>
        <v>Good</v>
      </c>
      <c r="C10" s="33" t="str">
        <f>HLOOKUP(4,HR_Data!$B$36:$F$37,2,FALSE())</f>
        <v>Good</v>
      </c>
    </row>
    <row r="11" spans="1:3" ht="21.75" customHeight="1" x14ac:dyDescent="0.3">
      <c r="A11" s="23" t="s">
        <v>94</v>
      </c>
      <c r="B11" s="32" t="str">
        <f>HLOOKUP(2,HR_Data!$B$36:$F$38,3,FALSE())</f>
        <v>5%</v>
      </c>
      <c r="C11" s="33" t="str">
        <f>HLOOKUP(2,HR_Data!$B$36:$F$38,3,FALSE())</f>
        <v>5%</v>
      </c>
    </row>
    <row r="12" spans="1:3" ht="21.75" customHeight="1" x14ac:dyDescent="0.3">
      <c r="A12" s="23" t="s">
        <v>95</v>
      </c>
      <c r="B12" s="32" t="str">
        <f>HLOOKUP(5,HR_Data!$B$36:$F$37,2,FALSE())</f>
        <v>Excellent</v>
      </c>
      <c r="C12" s="33" t="str">
        <f>HLOOKUP(5,HR_Data!$B$36:$F$37,2,FALSE())</f>
        <v>Excellent</v>
      </c>
    </row>
    <row r="14" spans="1:3" ht="24" customHeight="1" x14ac:dyDescent="0.3">
      <c r="A14" s="51" t="s">
        <v>96</v>
      </c>
      <c r="B14" s="51"/>
      <c r="C14" s="51"/>
    </row>
    <row r="15" spans="1:3" ht="19.5" customHeight="1" x14ac:dyDescent="0.3">
      <c r="A15" s="31" t="s">
        <v>86</v>
      </c>
      <c r="B15" s="31" t="s">
        <v>87</v>
      </c>
      <c r="C15" s="31" t="s">
        <v>88</v>
      </c>
    </row>
    <row r="16" spans="1:3" ht="21.75" customHeight="1" x14ac:dyDescent="0.3">
      <c r="A16" s="23" t="s">
        <v>97</v>
      </c>
      <c r="B16" s="35">
        <f>INDEX(HR_Data!$D$3:$D$32,3)</f>
        <v>58435</v>
      </c>
      <c r="C16" s="34">
        <f>INDEX(HR_Data!$D$3:$D$32,3)</f>
        <v>58435</v>
      </c>
    </row>
    <row r="17" spans="1:3" ht="21.75" customHeight="1" x14ac:dyDescent="0.3">
      <c r="A17" s="23" t="s">
        <v>98</v>
      </c>
      <c r="B17" s="32" t="str">
        <f>INDEX(HR_Data!$B$3:$B$32,7)</f>
        <v>Amit Yadav</v>
      </c>
      <c r="C17" s="33" t="str">
        <f>INDEX(HR_Data!$B$3:$B$32,7)</f>
        <v>Amit Yadav</v>
      </c>
    </row>
    <row r="18" spans="1:3" ht="21.75" customHeight="1" x14ac:dyDescent="0.3">
      <c r="A18" s="23" t="s">
        <v>99</v>
      </c>
      <c r="B18" s="32" t="str">
        <f>INDEX(HR_Data!$C$3:$C$32,15)</f>
        <v>Operations</v>
      </c>
      <c r="C18" s="33" t="str">
        <f>INDEX(HR_Data!$C$3:$C$32,15)</f>
        <v>Operations</v>
      </c>
    </row>
    <row r="20" spans="1:3" ht="24" customHeight="1" x14ac:dyDescent="0.3">
      <c r="A20" s="52" t="s">
        <v>100</v>
      </c>
      <c r="B20" s="52"/>
      <c r="C20" s="52"/>
    </row>
    <row r="21" spans="1:3" ht="19.5" customHeight="1" x14ac:dyDescent="0.3">
      <c r="A21" s="31" t="s">
        <v>86</v>
      </c>
      <c r="B21" s="31" t="s">
        <v>87</v>
      </c>
      <c r="C21" s="31" t="s">
        <v>88</v>
      </c>
    </row>
    <row r="22" spans="1:3" ht="21.75" customHeight="1" x14ac:dyDescent="0.3">
      <c r="A22" s="23" t="s">
        <v>101</v>
      </c>
      <c r="B22" s="32">
        <f>MATCH("E010",HR_Data!$A$3:$A$32,0)</f>
        <v>10</v>
      </c>
      <c r="C22" s="33">
        <f>MATCH("E010",HR_Data!$A$3:$A$32,0)</f>
        <v>10</v>
      </c>
    </row>
    <row r="23" spans="1:3" ht="21.75" customHeight="1" x14ac:dyDescent="0.3">
      <c r="A23" s="23" t="s">
        <v>102</v>
      </c>
      <c r="B23" s="32">
        <f>MATCH("Finance",HR_Data!$C$3:$C$32,0)</f>
        <v>3</v>
      </c>
      <c r="C23" s="33">
        <f>MATCH("Finance",HR_Data!$C$3:$C$32,0)</f>
        <v>3</v>
      </c>
    </row>
    <row r="24" spans="1:3" ht="21.75" customHeight="1" x14ac:dyDescent="0.3">
      <c r="A24" s="23" t="s">
        <v>103</v>
      </c>
      <c r="B24" s="32">
        <f>MATCH(MAX(HR_Data!$D$3:$D$32),HR_Data!$D$3:$D$32,0)</f>
        <v>8</v>
      </c>
      <c r="C24" s="34">
        <f>MATCH(MAX(HR_Data!$D$3:$D$32),HR_Data!$D$3:$D$32,0)</f>
        <v>8</v>
      </c>
    </row>
    <row r="26" spans="1:3" ht="24" customHeight="1" x14ac:dyDescent="0.3">
      <c r="A26" s="47" t="s">
        <v>104</v>
      </c>
      <c r="B26" s="47"/>
      <c r="C26" s="47"/>
    </row>
    <row r="27" spans="1:3" ht="19.5" customHeight="1" x14ac:dyDescent="0.3">
      <c r="A27" s="31" t="s">
        <v>86</v>
      </c>
      <c r="B27" s="31" t="s">
        <v>87</v>
      </c>
      <c r="C27" s="31" t="s">
        <v>88</v>
      </c>
    </row>
    <row r="28" spans="1:3" ht="21.75" customHeight="1" x14ac:dyDescent="0.3">
      <c r="A28" s="23" t="s">
        <v>105</v>
      </c>
      <c r="B28" s="35">
        <f>IFERROR(INDEX(HR_Data!$D$3:$D$32,MATCH("Neha Gupta",HR_Data!$B$3:$B$32,0)),"Not Found")</f>
        <v>116778</v>
      </c>
      <c r="C28" s="34">
        <f>IFERROR(INDEX(HR_Data!$D$3:$D$32,MATCH("Neha Gupta",HR_Data!$B$3:$B$32,0)),"Not Found")</f>
        <v>116778</v>
      </c>
    </row>
    <row r="29" spans="1:3" ht="21.75" customHeight="1" x14ac:dyDescent="0.3">
      <c r="A29" s="23" t="s">
        <v>106</v>
      </c>
      <c r="B29" s="32" t="str">
        <f>IFERROR(INDEX(HR_Data!$C$3:$C$32,MATCH("Vijay Reddy",HR_Data!$B$3:$B$32,0)),"Not Found")</f>
        <v>HR</v>
      </c>
      <c r="C29" s="33" t="str">
        <f>IFERROR(INDEX(HR_Data!$C$3:$C$32,MATCH("Vijay Reddy",HR_Data!$B$3:$B$32,0)),"Not Found")</f>
        <v>HR</v>
      </c>
    </row>
    <row r="30" spans="1:3" ht="21.75" customHeight="1" x14ac:dyDescent="0.3">
      <c r="A30" s="23" t="s">
        <v>107</v>
      </c>
      <c r="B30" s="32" t="str">
        <f>INDEX(HR_Data!$B$3:$B$32,MATCH(MAX(HR_Data!$D$3:$D$32),HR_Data!$D$3:$D$32,0))</f>
        <v>Neha Gupta</v>
      </c>
      <c r="C30" s="34" t="str">
        <f>INDEX(HR_Data!$B$3:$B$32,MATCH(MAX(HR_Data!$D$3:$D$32),HR_Data!$D$3:$D$32,0))</f>
        <v>Neha Gupta</v>
      </c>
    </row>
    <row r="31" spans="1:3" ht="21.75" customHeight="1" x14ac:dyDescent="0.3">
      <c r="A31" s="23" t="s">
        <v>108</v>
      </c>
      <c r="B31" s="32" t="str">
        <f>IFERROR(INDEX(HR_Data!$A$3:$A$32,MATCH("Kavita Sharma",HR_Data!$B$3:$B$32,0)),"Not Found")</f>
        <v>E016</v>
      </c>
      <c r="C31" s="33" t="str">
        <f>IFERROR(INDEX(HR_Data!$A$3:$A$32,MATCH("Kavita Sharma",HR_Data!$B$3:$B$32,0)),"Not Found")</f>
        <v>E016</v>
      </c>
    </row>
  </sheetData>
  <mergeCells count="6">
    <mergeCell ref="A26:C26"/>
    <mergeCell ref="A1:C1"/>
    <mergeCell ref="A2:C2"/>
    <mergeCell ref="A8:C8"/>
    <mergeCell ref="A14:C14"/>
    <mergeCell ref="A20:C2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97132"/>
  </sheetPr>
  <dimension ref="A1:E19"/>
  <sheetViews>
    <sheetView tabSelected="1" topLeftCell="A6" zoomScale="108" zoomScaleNormal="88" workbookViewId="0">
      <selection activeCell="F13" sqref="F13"/>
    </sheetView>
  </sheetViews>
  <sheetFormatPr defaultColWidth="8.6640625" defaultRowHeight="14.4" x14ac:dyDescent="0.3"/>
  <cols>
    <col min="1" max="1" width="6" customWidth="1"/>
    <col min="2" max="2" width="16" customWidth="1"/>
    <col min="3" max="3" width="58" customWidth="1"/>
    <col min="4" max="4" width="30" customWidth="1"/>
    <col min="5" max="5" width="22" customWidth="1"/>
  </cols>
  <sheetData>
    <row r="1" spans="1:5" ht="30" customHeight="1" x14ac:dyDescent="0.3">
      <c r="A1" s="48" t="s">
        <v>109</v>
      </c>
      <c r="B1" s="48"/>
      <c r="C1" s="48"/>
      <c r="D1" s="48"/>
      <c r="E1" s="48"/>
    </row>
    <row r="2" spans="1:5" ht="19.5" customHeight="1" x14ac:dyDescent="0.3">
      <c r="A2" s="53" t="s">
        <v>110</v>
      </c>
      <c r="B2" s="53"/>
      <c r="C2" s="53"/>
      <c r="D2" s="53"/>
      <c r="E2" s="53"/>
    </row>
    <row r="3" spans="1:5" ht="21.75" customHeight="1" x14ac:dyDescent="0.3">
      <c r="A3" s="1" t="s">
        <v>111</v>
      </c>
      <c r="B3" s="1" t="s">
        <v>112</v>
      </c>
      <c r="C3" s="1" t="s">
        <v>113</v>
      </c>
      <c r="D3" s="1" t="s">
        <v>114</v>
      </c>
      <c r="E3" s="1" t="s">
        <v>115</v>
      </c>
    </row>
    <row r="4" spans="1:5" ht="39.75" customHeight="1" x14ac:dyDescent="0.3">
      <c r="A4" s="26">
        <v>1</v>
      </c>
      <c r="B4" s="2" t="s">
        <v>116</v>
      </c>
      <c r="C4" s="27" t="s">
        <v>117</v>
      </c>
      <c r="D4" s="28" t="s">
        <v>118</v>
      </c>
      <c r="E4" s="29" t="str">
        <f>VLOOKUP(HR_Data!A5,HR_Data!$A$2:$E$32,MATCH(HR_Data!C2,HR_Data!A2:E2,0),FALSE)</f>
        <v>Finance</v>
      </c>
    </row>
    <row r="5" spans="1:5" ht="39.75" customHeight="1" x14ac:dyDescent="0.3">
      <c r="A5" s="26">
        <v>2</v>
      </c>
      <c r="B5" s="2" t="s">
        <v>116</v>
      </c>
      <c r="C5" s="30" t="s">
        <v>119</v>
      </c>
      <c r="D5" s="28" t="s">
        <v>120</v>
      </c>
      <c r="E5" s="29">
        <f>VLOOKUP(HR_Data!A9,HR_Data!$A$2:$E$32,MATCH(HR_Data!D2,HR_Data!A2:E2,0),FALSE)</f>
        <v>105599</v>
      </c>
    </row>
    <row r="6" spans="1:5" ht="39.75" customHeight="1" x14ac:dyDescent="0.3">
      <c r="A6" s="26">
        <v>3</v>
      </c>
      <c r="B6" s="2" t="s">
        <v>116</v>
      </c>
      <c r="C6" s="27" t="s">
        <v>121</v>
      </c>
      <c r="D6" s="28" t="s">
        <v>122</v>
      </c>
      <c r="E6" s="29"/>
    </row>
    <row r="7" spans="1:5" ht="39.75" customHeight="1" x14ac:dyDescent="0.3">
      <c r="A7" s="26">
        <v>4</v>
      </c>
      <c r="B7" s="5" t="s">
        <v>123</v>
      </c>
      <c r="C7" s="27" t="s">
        <v>124</v>
      </c>
      <c r="D7" s="28" t="s">
        <v>125</v>
      </c>
      <c r="E7" s="29" t="str">
        <f>HLOOKUP(HR_Data!D36,HR_Data!A36:F38,MATCH(HR_Data!A37,HR_Data!A36:A38,0),TRUE)</f>
        <v>Average</v>
      </c>
    </row>
    <row r="8" spans="1:5" ht="39.75" customHeight="1" x14ac:dyDescent="0.3">
      <c r="A8" s="26">
        <v>5</v>
      </c>
      <c r="B8" s="5" t="s">
        <v>123</v>
      </c>
      <c r="C8" s="30" t="s">
        <v>126</v>
      </c>
      <c r="D8" s="28" t="s">
        <v>127</v>
      </c>
      <c r="E8" s="29" t="str">
        <f>HLOOKUP(HR_Data!F36,HR_Data!A36:F38,MATCH(HR_Data!A38,HR_Data!A36:A38,0),TRUE)</f>
        <v>20%</v>
      </c>
    </row>
    <row r="9" spans="1:5" ht="39.75" customHeight="1" x14ac:dyDescent="0.3">
      <c r="A9" s="26">
        <v>6</v>
      </c>
      <c r="B9" s="5" t="s">
        <v>123</v>
      </c>
      <c r="C9" s="27" t="s">
        <v>128</v>
      </c>
      <c r="D9" s="28" t="s">
        <v>129</v>
      </c>
      <c r="E9" s="29" t="str">
        <f>HLOOKUP(HR_Data!B36,HR_Data!A36:F38,MATCH(HR_Data!A37,HR_Data!A36:A38,0),TRUE)</f>
        <v>Poor</v>
      </c>
    </row>
    <row r="10" spans="1:5" ht="39.75" customHeight="1" x14ac:dyDescent="0.3">
      <c r="A10" s="26">
        <v>7</v>
      </c>
      <c r="B10" s="14" t="s">
        <v>130</v>
      </c>
      <c r="C10" s="27" t="s">
        <v>131</v>
      </c>
      <c r="D10" s="28" t="s">
        <v>120</v>
      </c>
      <c r="E10" s="29">
        <f>INDEX(HR_Data!$A$2:$E$32,MATCH("Rohan Kapoor",HR_Data!$B$2:$B$32,0),MATCH(HR_Data!$D$2,HR_Data!$A$2:$E$2,0))</f>
        <v>61144</v>
      </c>
    </row>
    <row r="11" spans="1:5" ht="39.75" customHeight="1" x14ac:dyDescent="0.3">
      <c r="A11" s="26">
        <v>8</v>
      </c>
      <c r="B11" s="14" t="s">
        <v>130</v>
      </c>
      <c r="C11" s="30" t="s">
        <v>132</v>
      </c>
      <c r="D11" s="28" t="s">
        <v>133</v>
      </c>
      <c r="E11" s="29" t="str">
        <f>INDEX(HR_Data!$A$2:$E$32,MATCH("Kavita Sharma",HR_Data!$B$2:$B$32,0),MATCH(HR_Data!$C$2,HR_Data!$A$2:$E$2,0))</f>
        <v>HR</v>
      </c>
    </row>
    <row r="12" spans="1:5" ht="39.75" customHeight="1" x14ac:dyDescent="0.3">
      <c r="A12" s="26">
        <v>9</v>
      </c>
      <c r="B12" s="14" t="s">
        <v>130</v>
      </c>
      <c r="C12" s="30" t="s">
        <v>134</v>
      </c>
      <c r="D12" s="28" t="s">
        <v>122</v>
      </c>
      <c r="E12" s="29">
        <f>INDEX(HR_Data!$A$2:$E$32,MATCH("Rohan Kapoor",HR_Data!$B$2:$B$32,0),MATCH(HR_Data!$E$2,HR_Data!$A$2:$E$2,0))</f>
        <v>4</v>
      </c>
    </row>
    <row r="13" spans="1:5" ht="39.75" customHeight="1" x14ac:dyDescent="0.3">
      <c r="A13" s="26">
        <v>10</v>
      </c>
      <c r="B13" s="14" t="s">
        <v>130</v>
      </c>
      <c r="C13" s="30" t="s">
        <v>135</v>
      </c>
      <c r="D13" s="28" t="s">
        <v>136</v>
      </c>
      <c r="E13" s="29" t="str">
        <f>IFERROR(INDEX(HR_Data!A2:E32,MATCH("Ravi Kumar",HR_Data!B2:B32,0),MATCH(HR_Data!B2,HR_Data!A2:E2,0)),"Employee Not Found")</f>
        <v>Employee Not Found</v>
      </c>
    </row>
    <row r="14" spans="1:5" ht="39.75" customHeight="1" x14ac:dyDescent="0.3"/>
    <row r="15" spans="1:5" ht="39.75" customHeight="1" x14ac:dyDescent="0.3"/>
    <row r="16" spans="1:5" ht="39.75" customHeight="1" x14ac:dyDescent="0.3"/>
    <row r="17" customFormat="1" ht="39.75" customHeight="1" x14ac:dyDescent="0.3"/>
    <row r="18" customFormat="1" ht="39.75" customHeight="1" x14ac:dyDescent="0.3"/>
    <row r="19" customFormat="1" ht="39.75" customHeight="1" x14ac:dyDescent="0.3"/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30A0"/>
  </sheetPr>
  <dimension ref="A1:D16"/>
  <sheetViews>
    <sheetView topLeftCell="A5" workbookViewId="0">
      <selection activeCell="B20" sqref="B20"/>
    </sheetView>
  </sheetViews>
  <sheetFormatPr defaultColWidth="8.6640625" defaultRowHeight="14.4" x14ac:dyDescent="0.3"/>
  <cols>
    <col min="1" max="1" width="16" customWidth="1"/>
    <col min="2" max="2" width="50" customWidth="1"/>
    <col min="3" max="3" width="52" customWidth="1"/>
    <col min="4" max="4" width="34" customWidth="1"/>
  </cols>
  <sheetData>
    <row r="1" spans="1:4" ht="30" customHeight="1" x14ac:dyDescent="0.3">
      <c r="A1" s="48" t="s">
        <v>137</v>
      </c>
      <c r="B1" s="48"/>
      <c r="C1" s="48"/>
      <c r="D1" s="48"/>
    </row>
    <row r="2" spans="1:4" ht="21.75" customHeight="1" x14ac:dyDescent="0.3">
      <c r="A2" s="1" t="s">
        <v>138</v>
      </c>
      <c r="B2" s="1" t="s">
        <v>139</v>
      </c>
      <c r="C2" s="1" t="s">
        <v>140</v>
      </c>
      <c r="D2" s="1" t="s">
        <v>141</v>
      </c>
    </row>
    <row r="3" spans="1:4" ht="36" customHeight="1" x14ac:dyDescent="0.3">
      <c r="A3" s="2" t="s">
        <v>116</v>
      </c>
      <c r="B3" s="3" t="s">
        <v>142</v>
      </c>
      <c r="C3" s="3" t="s">
        <v>143</v>
      </c>
      <c r="D3" s="4" t="s">
        <v>144</v>
      </c>
    </row>
    <row r="4" spans="1:4" ht="36" customHeight="1" x14ac:dyDescent="0.3">
      <c r="A4" s="5" t="s">
        <v>123</v>
      </c>
      <c r="B4" s="6" t="s">
        <v>145</v>
      </c>
      <c r="C4" s="6" t="s">
        <v>146</v>
      </c>
      <c r="D4" s="7" t="s">
        <v>147</v>
      </c>
    </row>
    <row r="5" spans="1:4" ht="36" customHeight="1" x14ac:dyDescent="0.3">
      <c r="A5" s="8" t="s">
        <v>148</v>
      </c>
      <c r="B5" s="9" t="s">
        <v>149</v>
      </c>
      <c r="C5" s="9" t="s">
        <v>150</v>
      </c>
      <c r="D5" s="10" t="s">
        <v>151</v>
      </c>
    </row>
    <row r="6" spans="1:4" ht="36" customHeight="1" x14ac:dyDescent="0.3">
      <c r="A6" s="11" t="s">
        <v>152</v>
      </c>
      <c r="B6" s="12" t="s">
        <v>153</v>
      </c>
      <c r="C6" s="12" t="s">
        <v>154</v>
      </c>
      <c r="D6" s="13" t="s">
        <v>155</v>
      </c>
    </row>
    <row r="7" spans="1:4" ht="36" customHeight="1" x14ac:dyDescent="0.3">
      <c r="A7" s="14" t="s">
        <v>130</v>
      </c>
      <c r="B7" s="15" t="s">
        <v>156</v>
      </c>
      <c r="C7" s="15" t="s">
        <v>157</v>
      </c>
      <c r="D7" s="16" t="s">
        <v>158</v>
      </c>
    </row>
    <row r="8" spans="1:4" ht="36" customHeight="1" x14ac:dyDescent="0.3">
      <c r="A8" s="17" t="s">
        <v>159</v>
      </c>
      <c r="B8" s="18" t="s">
        <v>160</v>
      </c>
      <c r="C8" s="18" t="s">
        <v>161</v>
      </c>
      <c r="D8" s="19" t="s">
        <v>162</v>
      </c>
    </row>
    <row r="10" spans="1:4" ht="25.5" customHeight="1" x14ac:dyDescent="0.3">
      <c r="A10" s="54" t="s">
        <v>163</v>
      </c>
      <c r="B10" s="54"/>
      <c r="C10" s="54"/>
      <c r="D10" s="54"/>
    </row>
    <row r="11" spans="1:4" ht="21.75" customHeight="1" x14ac:dyDescent="0.3">
      <c r="A11" s="20" t="s">
        <v>164</v>
      </c>
      <c r="B11" s="21" t="s">
        <v>116</v>
      </c>
      <c r="C11" s="21" t="s">
        <v>130</v>
      </c>
      <c r="D11" s="21"/>
    </row>
    <row r="12" spans="1:4" ht="21.75" customHeight="1" x14ac:dyDescent="0.3">
      <c r="A12" s="22" t="s">
        <v>165</v>
      </c>
      <c r="B12" s="23" t="s">
        <v>166</v>
      </c>
      <c r="C12" s="23" t="s">
        <v>167</v>
      </c>
      <c r="D12" s="23" t="s">
        <v>168</v>
      </c>
    </row>
    <row r="13" spans="1:4" ht="21.75" customHeight="1" x14ac:dyDescent="0.3">
      <c r="A13" s="24" t="s">
        <v>169</v>
      </c>
      <c r="B13" s="25" t="s">
        <v>170</v>
      </c>
      <c r="C13" s="25" t="s">
        <v>171</v>
      </c>
      <c r="D13" s="25" t="s">
        <v>168</v>
      </c>
    </row>
    <row r="14" spans="1:4" ht="21.75" customHeight="1" x14ac:dyDescent="0.3">
      <c r="A14" s="22" t="s">
        <v>172</v>
      </c>
      <c r="B14" s="23" t="s">
        <v>173</v>
      </c>
      <c r="C14" s="23" t="s">
        <v>174</v>
      </c>
      <c r="D14" s="23" t="s">
        <v>175</v>
      </c>
    </row>
    <row r="15" spans="1:4" ht="21.75" customHeight="1" x14ac:dyDescent="0.3">
      <c r="A15" s="24" t="s">
        <v>176</v>
      </c>
      <c r="B15" s="25" t="s">
        <v>177</v>
      </c>
      <c r="C15" s="25" t="s">
        <v>178</v>
      </c>
      <c r="D15" s="25" t="s">
        <v>179</v>
      </c>
    </row>
    <row r="16" spans="1:4" ht="21.75" customHeight="1" x14ac:dyDescent="0.3">
      <c r="A16" s="22" t="s">
        <v>180</v>
      </c>
      <c r="B16" s="23" t="s">
        <v>181</v>
      </c>
      <c r="C16" s="23" t="s">
        <v>181</v>
      </c>
      <c r="D16" s="23" t="s">
        <v>182</v>
      </c>
    </row>
  </sheetData>
  <mergeCells count="2">
    <mergeCell ref="A1:D1"/>
    <mergeCell ref="A10:D1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HR_Data</vt:lpstr>
      <vt:lpstr>Solutions</vt:lpstr>
      <vt:lpstr>Practice_Tasks</vt:lpstr>
      <vt:lpstr>Quick_Reference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sanket kudale</cp:lastModifiedBy>
  <cp:revision>0</cp:revision>
  <dcterms:created xsi:type="dcterms:W3CDTF">2026-04-08T10:42:00Z</dcterms:created>
  <dcterms:modified xsi:type="dcterms:W3CDTF">2026-08-19T17:35:09Z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47A3960CC1AF48F79E162D1801523E1E_12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