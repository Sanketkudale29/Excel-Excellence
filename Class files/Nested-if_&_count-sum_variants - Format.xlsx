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91C48296-C0DA-4739-9AFA-3F8136CC2CA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ales_Data" sheetId="1" r:id="rId1"/>
    <sheet name="Practice_Tasks" sheetId="3" r:id="rId2"/>
    <sheet name="Quick_Reference" sheetId="4" r:id="rId3"/>
  </sheets>
  <definedNames>
    <definedName name="_xlnm._FilterDatabase" localSheetId="1" hidden="1">Practice_Tasks!$A$1:$L$31</definedName>
    <definedName name="sales">Practice_Tasks!$D:$D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3" l="1"/>
  <c r="U32" i="3"/>
  <c r="L3" i="3" a="1"/>
  <c r="L3" i="3" s="1"/>
  <c r="L4" i="3" a="1"/>
  <c r="L4" i="3"/>
  <c r="L5" i="3" a="1"/>
  <c r="L5" i="3"/>
  <c r="L6" i="3" a="1"/>
  <c r="L6" i="3" s="1"/>
  <c r="L7" i="3" a="1"/>
  <c r="L7" i="3"/>
  <c r="L8" i="3" a="1"/>
  <c r="L8" i="3"/>
  <c r="L9" i="3" a="1"/>
  <c r="L9" i="3" s="1"/>
  <c r="L10" i="3" a="1"/>
  <c r="L10" i="3"/>
  <c r="L11" i="3" a="1"/>
  <c r="L11" i="3"/>
  <c r="L12" i="3" a="1"/>
  <c r="L12" i="3"/>
  <c r="L13" i="3" a="1"/>
  <c r="L13" i="3"/>
  <c r="L14" i="3" a="1"/>
  <c r="L14" i="3"/>
  <c r="L15" i="3" a="1"/>
  <c r="L15" i="3"/>
  <c r="L16" i="3" a="1"/>
  <c r="L16" i="3"/>
  <c r="L17" i="3" a="1"/>
  <c r="L17" i="3"/>
  <c r="L18" i="3" a="1"/>
  <c r="L18" i="3"/>
  <c r="L19" i="3" a="1"/>
  <c r="L19" i="3"/>
  <c r="L20" i="3" a="1"/>
  <c r="L20" i="3"/>
  <c r="L21" i="3" a="1"/>
  <c r="L21" i="3"/>
  <c r="L22" i="3" a="1"/>
  <c r="L22" i="3"/>
  <c r="L23" i="3" a="1"/>
  <c r="L23" i="3"/>
  <c r="L24" i="3" a="1"/>
  <c r="L24" i="3" s="1"/>
  <c r="L25" i="3" a="1"/>
  <c r="L25" i="3" s="1"/>
  <c r="L26" i="3" a="1"/>
  <c r="L26" i="3"/>
  <c r="L27" i="3" a="1"/>
  <c r="L27" i="3"/>
  <c r="L28" i="3" a="1"/>
  <c r="L28" i="3"/>
  <c r="L29" i="3" a="1"/>
  <c r="L29" i="3"/>
  <c r="L30" i="3" a="1"/>
  <c r="L30" i="3"/>
  <c r="L31" i="3" a="1"/>
  <c r="L3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U30" i="3"/>
  <c r="V28" i="3"/>
  <c r="O30" i="3"/>
  <c r="O29" i="3"/>
  <c r="O28" i="3"/>
  <c r="O26" i="3"/>
  <c r="O27" i="3"/>
  <c r="V27" i="3"/>
  <c r="L2" i="3" a="1"/>
  <c r="L2" i="3" s="1"/>
  <c r="V25" i="3"/>
  <c r="V24" i="3"/>
  <c r="V23" i="3"/>
  <c r="V22" i="3"/>
  <c r="V21" i="3"/>
  <c r="V20" i="3"/>
  <c r="V18" i="3"/>
  <c r="V17" i="3"/>
  <c r="V19" i="3"/>
  <c r="V16" i="3"/>
  <c r="V15" i="3"/>
  <c r="V14" i="3"/>
  <c r="V13" i="3"/>
  <c r="V11" i="3"/>
  <c r="V10" i="3"/>
  <c r="V9" i="3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/>
  <c r="J9" i="3" a="1"/>
  <c r="J9" i="3" s="1"/>
  <c r="J10" i="3" a="1"/>
  <c r="J10" i="3"/>
  <c r="J11" i="3" a="1"/>
  <c r="J11" i="3"/>
  <c r="J12" i="3" a="1"/>
  <c r="J12" i="3" s="1"/>
  <c r="J13" i="3" a="1"/>
  <c r="J13" i="3" s="1"/>
  <c r="J14" i="3" a="1"/>
  <c r="J14" i="3" s="1"/>
  <c r="J15" i="3" a="1"/>
  <c r="J15" i="3"/>
  <c r="J16" i="3" a="1"/>
  <c r="J16" i="3"/>
  <c r="J17" i="3" a="1"/>
  <c r="J17" i="3" s="1"/>
  <c r="J18" i="3" a="1"/>
  <c r="J18" i="3"/>
  <c r="J19" i="3" a="1"/>
  <c r="J19" i="3"/>
  <c r="J20" i="3" a="1"/>
  <c r="J20" i="3" s="1"/>
  <c r="J21" i="3" a="1"/>
  <c r="J21" i="3" s="1"/>
  <c r="J22" i="3" a="1"/>
  <c r="J22" i="3"/>
  <c r="J23" i="3" a="1"/>
  <c r="J23" i="3" s="1"/>
  <c r="J24" i="3" a="1"/>
  <c r="J24" i="3" s="1"/>
  <c r="J25" i="3" a="1"/>
  <c r="J25" i="3" s="1"/>
  <c r="J26" i="3" a="1"/>
  <c r="J26" i="3"/>
  <c r="J27" i="3" a="1"/>
  <c r="J27" i="3" s="1"/>
  <c r="J28" i="3" a="1"/>
  <c r="J28" i="3" s="1"/>
  <c r="J29" i="3" a="1"/>
  <c r="J29" i="3"/>
  <c r="J30" i="3" a="1"/>
  <c r="J30" i="3" s="1"/>
  <c r="J31" i="3" a="1"/>
  <c r="J31" i="3"/>
  <c r="J2" i="3" a="1"/>
  <c r="J2" i="3" s="1"/>
  <c r="I3" i="3" a="1"/>
  <c r="I3" i="3" s="1"/>
  <c r="I4" i="3" a="1"/>
  <c r="I4" i="3" s="1"/>
  <c r="I5" i="3" a="1"/>
  <c r="I5" i="3" s="1"/>
  <c r="I6" i="3" a="1"/>
  <c r="I6" i="3" s="1"/>
  <c r="I7" i="3" a="1"/>
  <c r="I7" i="3"/>
  <c r="I8" i="3" a="1"/>
  <c r="I8" i="3"/>
  <c r="I9" i="3" a="1"/>
  <c r="I9" i="3" s="1"/>
  <c r="I10" i="3" a="1"/>
  <c r="I10" i="3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/>
  <c r="I22" i="3" a="1"/>
  <c r="I22" i="3"/>
  <c r="I23" i="3" a="1"/>
  <c r="I23" i="3" s="1"/>
  <c r="I24" i="3" a="1"/>
  <c r="I24" i="3" s="1"/>
  <c r="I25" i="3" a="1"/>
  <c r="I25" i="3"/>
  <c r="I26" i="3" a="1"/>
  <c r="I26" i="3" s="1"/>
  <c r="I27" i="3" a="1"/>
  <c r="I27" i="3"/>
  <c r="I28" i="3" a="1"/>
  <c r="I28" i="3" s="1"/>
  <c r="I29" i="3" a="1"/>
  <c r="I29" i="3"/>
  <c r="I30" i="3" a="1"/>
  <c r="I30" i="3"/>
  <c r="I31" i="3" a="1"/>
  <c r="I31" i="3"/>
  <c r="I2" i="3" a="1"/>
  <c r="I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V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<sst xmlns="http://schemas.openxmlformats.org/spreadsheetml/2006/main" count="410" uniqueCount="172">
  <si>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</si>
  <si>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</si>
  <si>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</si>
  <si>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</si>
  <si>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</si>
  <si>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</si>
  <si>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</si>
  <si>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</si>
  <si>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</si>
  <si>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</si>
  <si>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</si>
  <si>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</si>
  <si>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</si>
  <si>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</si>
  <si>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</si>
  <si>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</si>
  <si>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</si>
  <si>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</si>
  <si>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</si>
  <si>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</si>
  <si>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</si>
  <si>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</si>
  <si>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</si>
  <si>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</si>
  <si>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</si>
  <si>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</si>
  <si>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</si>
  <si>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</si>
  <si>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</si>
  <si>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</si>
  <si>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</si>
  <si>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</si>
  <si>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</si>
  <si>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</si>
  <si>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</si>
  <si>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</si>
  <si>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</si>
  <si>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</si>
  <si>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</si>
  <si>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</si>
  <si>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</si>
  <si>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</si>
  <si>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</si>
  <si>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</si>
  <si>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</si>
  <si>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</si>
  <si>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</si>
  <si>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</si>
  <si>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</si>
  <si>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Units</t>
  </si>
  <si>
    <t>📝  PRACTICE TASKS — DATA SCIENCE TRAINING</t>
  </si>
  <si>
    <t>Instructions: Write your answers in Column E (Answer column). Refer to Sales_Data sheet for data.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</si>
  <si>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</si>
  <si>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</si>
  <si>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</si>
  <si>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</si>
  <si>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</si>
  <si>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</si>
  <si>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</si>
  <si>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</si>
  <si>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</si>
  <si>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</si>
  <si>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r>
      <rPr>
        <b/>
        <sz val="11"/>
        <color theme="1"/>
        <rFont val="Calibri"/>
        <charset val="1"/>
      </rPr>
      <t>IF</t>
    </r>
    <r>
      <rPr>
        <sz val="11"/>
        <color theme="1"/>
        <rFont val="Calibri"/>
        <charset val="1"/>
      </rPr>
      <t xml:space="preserve"> → Excel evaluates condition directly → no quotes</t>
    </r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</si>
  <si>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</si>
  <si>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</si>
  <si>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</si>
  <si>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charset val="1"/>
      </rPr>
      <t>D3&gt;=50000</t>
    </r>
  </si>
  <si>
    <t>Classify Region: North→'Zone 1', South→'Zone 2', East→'Zone 3', others→'Zone 4'.</t>
  </si>
  <si>
    <t>Zone 1–4 per row</t>
  </si>
  <si>
    <t>IFERROR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</si>
  <si>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</si>
  <si>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</si>
  <si>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charset val="1"/>
      </rPr>
      <t>SUMIFS / COUNTIFS</t>
    </r>
    <r>
      <rPr>
        <sz val="11"/>
        <color theme="1"/>
        <rFont val="Calibri"/>
        <charset val="1"/>
      </rPr>
      <t xml:space="preserve"> → condition is given as </t>
    </r>
    <r>
      <rPr>
        <b/>
        <sz val="11"/>
        <color theme="1"/>
        <rFont val="Calibri"/>
        <charset val="1"/>
      </rPr>
      <t>text instruction</t>
    </r>
    <r>
      <rPr>
        <sz val="11"/>
        <color theme="1"/>
        <rFont val="Calibri"/>
        <charset val="1"/>
      </rPr>
      <t xml:space="preserve"> → use quotes</t>
    </r>
  </si>
  <si>
    <t>COUNT</t>
  </si>
  <si>
    <t>Count how many rows have a numeric value in the Sales (₹) column.</t>
  </si>
  <si>
    <t>57  (3 blanks)</t>
  </si>
  <si>
    <r>
      <rPr>
        <sz val="11"/>
        <color theme="1"/>
        <rFont val="Calibri"/>
        <charset val="1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</si>
  <si>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</si>
  <si>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</si>
  <si>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</si>
  <si>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</si>
  <si>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</si>
  <si>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</si>
  <si>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charset val="1"/>
      </rPr>
      <t xml:space="preserve">👉 </t>
    </r>
    <r>
      <rPr>
        <b/>
        <sz val="11"/>
        <color theme="1"/>
        <rFont val="Calibri"/>
        <charset val="1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</si>
  <si>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</si>
  <si>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</si>
  <si>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</si>
  <si>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</si>
  <si>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</si>
  <si>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charset val="1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</si>
  <si>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</si>
  <si>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</si>
  <si>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</si>
  <si>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charset val="1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</si>
  <si>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</si>
  <si>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</si>
  <si>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</si>
  <si>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</si>
  <si>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</si>
  <si>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</si>
  <si>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</si>
  <si>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</si>
  <si>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</si>
  <si>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</si>
  <si>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</si>
  <si>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</si>
  <si>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</si>
  <si>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</si>
  <si>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</si>
  <si>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</si>
  <si>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</si>
  <si>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</si>
  <si>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</si>
  <si>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</si>
  <si>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</si>
  <si>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</si>
  <si>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</si>
  <si>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</si>
  <si>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</si>
  <si>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</si>
  <si>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</si>
  <si>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</si>
  <si>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</si>
  <si>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</si>
  <si>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</si>
  <si>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</si>
  <si>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</si>
  <si>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 xml:space="preserve"> =IF(D3&gt;=75000,"A",IF(D3&gt;=50000,"B","C"))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</si>
  <si>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</si>
  <si>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</si>
  <si>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</si>
  <si>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</si>
  <si>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</si>
  <si>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</si>
  <si>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</si>
  <si>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</si>
  <si>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</si>
  <si>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</si>
  <si>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</si>
  <si>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</si>
  <si>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</si>
  <si>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</si>
  <si>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</si>
  <si>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</si>
  <si>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</si>
  <si>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</si>
  <si>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</si>
  <si>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</si>
  <si>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</si>
  <si>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</si>
  <si>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</si>
  <si>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</si>
  <si>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</si>
  <si>
    <t>check column G</t>
  </si>
  <si>
    <t>If-1</t>
  </si>
  <si>
    <t>If-2</t>
  </si>
  <si>
    <t>check column H</t>
  </si>
  <si>
    <t>Nested If- 1</t>
  </si>
  <si>
    <t>check column I</t>
  </si>
  <si>
    <t>Nested If- 2</t>
  </si>
  <si>
    <t>check column J</t>
  </si>
  <si>
    <t>iferror</t>
  </si>
  <si>
    <t>grade of sales</t>
  </si>
  <si>
    <t>=COUNTIFS(L2:L31,"=High",E2:E31,"=Completed")</t>
  </si>
  <si>
    <t>=COUNTIFS(D2:D31,"&gt;=60000",E2:E31,"=Completed")</t>
  </si>
  <si>
    <t>mixed 2</t>
  </si>
  <si>
    <t>Avg_Sales</t>
  </si>
  <si>
    <t xml:space="preserve">Region </t>
  </si>
  <si>
    <t xml:space="preserve">East </t>
  </si>
  <si>
    <t>Refer Avg_Sales Table</t>
  </si>
  <si>
    <t>mixed 1</t>
  </si>
  <si>
    <t>=AVERAGEIFS(D2:D31,B2:B31,"=West",E2:E31,"=Completed")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</si>
</sst>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17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C00000"/>
      <name val="Courier New"/>
      <charset val="1"/>
    </font>
    <font>
      <i/>
      <sz val="9.5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b/>
      <sz val="11"/>
      <color theme="1"/>
      <name val="Calibri"/>
      <charset val="1"/>
    </font>
    <font>
      <b/>
      <sz val="10"/>
      <color rgb="FF843C0C"/>
      <name val="Arial"/>
      <charset val="1"/>
    </font>
    <font>
      <b/>
      <sz val="10"/>
      <color rgb="FF4E1130"/>
      <name val="Arial"/>
      <charset val="1"/>
    </font>
    <font>
      <b/>
      <sz val="10"/>
      <color rgb="FF20376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BE5D6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6E4F0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2" fillId="8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4" fontId="0" fillId="12" borderId="1" xfId="0" applyNumberFormat="1" applyFill="1" applyBorder="1"/>
    <xf numFmtId="0" fontId="13" fillId="0" borderId="3" xfId="0" applyFont="1" applyBorder="1" applyAlignment="1">
      <alignment horizontal="left" indent="1"/>
    </xf>
    <xf numFmtId="0" fontId="1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4" xfId="0" applyBorder="1"/>
    <xf numFmtId="0" fontId="11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6" fillId="11" borderId="0" xfId="0" applyFont="1" applyFill="1" applyAlignment="1">
      <alignment horizontal="left" vertical="center"/>
    </xf>
    <xf numFmtId="0" fontId="0" fillId="0" borderId="0" xfId="0" quotePrefix="1"/>
    <xf numFmtId="0" fontId="14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15B8-A168-4761-BE65-AEFF02408EDF}" name="Avg_Sales" displayName="Avg_Sales" ref="N25:O30" totalsRowShown="0" headerRowDxfId="3" dataDxfId="2">
  <autoFilter ref="N25:O30" xr:uid="{AE0515B8-A168-4761-BE65-AEFF02408EDF}"/>
  <tableColumns count="2">
    <tableColumn id="1" xr3:uid="{4DCB57D1-E119-4154-AA62-6D44B389FE7F}" name="Region " dataDxfId="1"/>
    <tableColumn id="2" xr3:uid="{CF18188A-B750-493E-95AC-382868DE431B}" name="Avg_Sal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E32"/>
  <sheetViews>
    <sheetView zoomScale="85" zoomScaleNormal="85" workbookViewId="0">
      <pane ySplit="2" topLeftCell="A30" activePane="bottomLeft" state="frozen"/>
      <selection pane="bottomLeft" activeCell="H19" sqref="H19"/>
    </sheetView>
  </sheetViews>
  <sheetFormatPr defaultColWidth="8.6640625" defaultRowHeight="14.4" x14ac:dyDescent="0.3"/>
  <cols>
    <col min="1" max="1" width="22" customWidth="1"/>
    <col min="2" max="2" width="12" customWidth="1"/>
    <col min="3" max="3" width="15" customWidth="1"/>
    <col min="4" max="5" width="14" customWidth="1"/>
    <col min="8" max="8" width="32.109375" customWidth="1"/>
    <col min="9" max="9" width="122" customWidth="1"/>
    <col min="10" max="10" width="14.44140625" customWidth="1"/>
  </cols>
  <sheetData>
    <row r="1" spans="1:5" ht="30" customHeight="1" x14ac:dyDescent="0.3">
      <c r="A1" s="55" t="s">
        <v>0</v>
      </c>
      <c r="B1" s="55"/>
      <c r="C1" s="55"/>
      <c r="D1" s="55"/>
      <c r="E1" s="55"/>
    </row>
    <row r="2" spans="1:5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.75" customHeight="1" x14ac:dyDescent="0.3">
      <c r="A3" s="14" t="s">
        <v>6</v>
      </c>
      <c r="B3" s="15" t="s">
        <v>7</v>
      </c>
      <c r="C3" s="15" t="s">
        <v>8</v>
      </c>
      <c r="D3" s="16">
        <v>88810</v>
      </c>
      <c r="E3" s="17" t="s">
        <v>9</v>
      </c>
    </row>
    <row r="4" spans="1:5" ht="18.75" customHeight="1" x14ac:dyDescent="0.3">
      <c r="A4" s="18" t="s">
        <v>10</v>
      </c>
      <c r="B4" s="19" t="s">
        <v>11</v>
      </c>
      <c r="C4" s="19" t="s">
        <v>12</v>
      </c>
      <c r="D4" s="20">
        <v>19592</v>
      </c>
      <c r="E4" s="21" t="s">
        <v>13</v>
      </c>
    </row>
    <row r="5" spans="1:5" ht="18.75" customHeight="1" x14ac:dyDescent="0.3">
      <c r="A5" s="14" t="s">
        <v>14</v>
      </c>
      <c r="B5" s="15" t="s">
        <v>15</v>
      </c>
      <c r="C5" s="15" t="s">
        <v>16</v>
      </c>
      <c r="D5" s="16">
        <v>8278</v>
      </c>
      <c r="E5" s="22" t="s">
        <v>17</v>
      </c>
    </row>
    <row r="6" spans="1:5" ht="18.75" customHeight="1" x14ac:dyDescent="0.3">
      <c r="A6" s="18" t="s">
        <v>18</v>
      </c>
      <c r="B6" s="19" t="s">
        <v>19</v>
      </c>
      <c r="C6" s="19" t="s">
        <v>20</v>
      </c>
      <c r="D6" s="20">
        <v>41048</v>
      </c>
      <c r="E6" s="17" t="s">
        <v>9</v>
      </c>
    </row>
    <row r="7" spans="1:5" ht="18.75" customHeight="1" x14ac:dyDescent="0.3">
      <c r="A7" s="14" t="s">
        <v>21</v>
      </c>
      <c r="B7" s="15" t="s">
        <v>22</v>
      </c>
      <c r="C7" s="15" t="s">
        <v>23</v>
      </c>
      <c r="D7" s="16">
        <v>37098</v>
      </c>
      <c r="E7" s="22" t="s">
        <v>17</v>
      </c>
    </row>
    <row r="8" spans="1:5" ht="18.75" customHeight="1" x14ac:dyDescent="0.3">
      <c r="A8" s="18" t="s">
        <v>24</v>
      </c>
      <c r="B8" s="19" t="s">
        <v>7</v>
      </c>
      <c r="C8" s="19" t="s">
        <v>8</v>
      </c>
      <c r="D8" s="20">
        <v>34256</v>
      </c>
      <c r="E8" s="17" t="s">
        <v>9</v>
      </c>
    </row>
    <row r="9" spans="1:5" ht="18.75" customHeight="1" x14ac:dyDescent="0.3">
      <c r="A9" s="14" t="s">
        <v>25</v>
      </c>
      <c r="B9" s="15" t="s">
        <v>11</v>
      </c>
      <c r="C9" s="15" t="s">
        <v>12</v>
      </c>
      <c r="D9" s="16">
        <v>23289</v>
      </c>
      <c r="E9" s="21" t="s">
        <v>13</v>
      </c>
    </row>
    <row r="10" spans="1:5" ht="18.75" customHeight="1" x14ac:dyDescent="0.3">
      <c r="A10" s="18" t="s">
        <v>26</v>
      </c>
      <c r="B10" s="19" t="s">
        <v>15</v>
      </c>
      <c r="C10" s="19" t="s">
        <v>16</v>
      </c>
      <c r="D10" s="19"/>
      <c r="E10" s="22" t="s">
        <v>17</v>
      </c>
    </row>
    <row r="11" spans="1:5" ht="18.75" customHeight="1" x14ac:dyDescent="0.3">
      <c r="A11" s="14" t="s">
        <v>27</v>
      </c>
      <c r="B11" s="15" t="s">
        <v>19</v>
      </c>
      <c r="C11" s="15" t="s">
        <v>20</v>
      </c>
      <c r="D11" s="16">
        <v>93696</v>
      </c>
      <c r="E11" s="17" t="s">
        <v>9</v>
      </c>
    </row>
    <row r="12" spans="1:5" ht="18.75" customHeight="1" x14ac:dyDescent="0.3">
      <c r="A12" s="18" t="s">
        <v>28</v>
      </c>
      <c r="B12" s="19" t="s">
        <v>22</v>
      </c>
      <c r="C12" s="19" t="s">
        <v>23</v>
      </c>
      <c r="D12" s="20">
        <v>76482</v>
      </c>
      <c r="E12" s="17" t="s">
        <v>9</v>
      </c>
    </row>
    <row r="13" spans="1:5" ht="18.75" customHeight="1" x14ac:dyDescent="0.3">
      <c r="A13" s="14" t="s">
        <v>29</v>
      </c>
      <c r="B13" s="15" t="s">
        <v>7</v>
      </c>
      <c r="C13" s="15" t="s">
        <v>8</v>
      </c>
      <c r="D13" s="16">
        <v>16395</v>
      </c>
      <c r="E13" s="17" t="s">
        <v>9</v>
      </c>
    </row>
    <row r="14" spans="1:5" ht="18.75" customHeight="1" x14ac:dyDescent="0.3">
      <c r="A14" s="18" t="s">
        <v>30</v>
      </c>
      <c r="B14" s="19" t="s">
        <v>11</v>
      </c>
      <c r="C14" s="19" t="s">
        <v>12</v>
      </c>
      <c r="D14" s="20">
        <v>82397</v>
      </c>
      <c r="E14" s="21" t="s">
        <v>13</v>
      </c>
    </row>
    <row r="15" spans="1:5" ht="18.75" customHeight="1" x14ac:dyDescent="0.3">
      <c r="A15" s="14" t="s">
        <v>31</v>
      </c>
      <c r="B15" s="15" t="s">
        <v>15</v>
      </c>
      <c r="C15" s="15" t="s">
        <v>16</v>
      </c>
      <c r="D15" s="16">
        <v>60302</v>
      </c>
      <c r="E15" s="22" t="s">
        <v>17</v>
      </c>
    </row>
    <row r="16" spans="1:5" ht="18.75" customHeight="1" x14ac:dyDescent="0.3">
      <c r="A16" s="18" t="s">
        <v>32</v>
      </c>
      <c r="B16" s="19" t="s">
        <v>19</v>
      </c>
      <c r="C16" s="19" t="s">
        <v>20</v>
      </c>
      <c r="D16" s="20">
        <v>9165</v>
      </c>
      <c r="E16" s="17" t="s">
        <v>9</v>
      </c>
    </row>
    <row r="17" spans="1:5" ht="18.75" customHeight="1" x14ac:dyDescent="0.3">
      <c r="A17" s="14" t="s">
        <v>33</v>
      </c>
      <c r="B17" s="15" t="s">
        <v>22</v>
      </c>
      <c r="C17" s="15" t="s">
        <v>23</v>
      </c>
      <c r="D17" s="16">
        <v>8905</v>
      </c>
      <c r="E17" s="17" t="s">
        <v>9</v>
      </c>
    </row>
    <row r="18" spans="1:5" ht="18.75" customHeight="1" x14ac:dyDescent="0.3">
      <c r="A18" s="18" t="s">
        <v>34</v>
      </c>
      <c r="B18" s="19" t="s">
        <v>7</v>
      </c>
      <c r="C18" s="19" t="s">
        <v>8</v>
      </c>
      <c r="D18" s="19"/>
      <c r="E18" s="17" t="s">
        <v>9</v>
      </c>
    </row>
    <row r="19" spans="1:5" ht="18.75" customHeight="1" x14ac:dyDescent="0.3">
      <c r="A19" s="14" t="s">
        <v>35</v>
      </c>
      <c r="B19" s="15" t="s">
        <v>11</v>
      </c>
      <c r="C19" s="15" t="s">
        <v>12</v>
      </c>
      <c r="D19" s="16">
        <v>33657</v>
      </c>
      <c r="E19" s="21" t="s">
        <v>13</v>
      </c>
    </row>
    <row r="20" spans="1:5" ht="18.75" customHeight="1" x14ac:dyDescent="0.3">
      <c r="A20" s="18" t="s">
        <v>36</v>
      </c>
      <c r="B20" s="19" t="s">
        <v>15</v>
      </c>
      <c r="C20" s="19" t="s">
        <v>16</v>
      </c>
      <c r="D20" s="20">
        <v>35495</v>
      </c>
      <c r="E20" s="22" t="s">
        <v>17</v>
      </c>
    </row>
    <row r="21" spans="1:5" ht="18.75" customHeight="1" x14ac:dyDescent="0.3">
      <c r="A21" s="14" t="s">
        <v>37</v>
      </c>
      <c r="B21" s="15" t="s">
        <v>19</v>
      </c>
      <c r="C21" s="15" t="s">
        <v>20</v>
      </c>
      <c r="D21" s="16">
        <v>71237</v>
      </c>
      <c r="E21" s="17" t="s">
        <v>9</v>
      </c>
    </row>
    <row r="22" spans="1:5" ht="18.75" customHeight="1" x14ac:dyDescent="0.3">
      <c r="A22" s="18" t="s">
        <v>38</v>
      </c>
      <c r="B22" s="19" t="s">
        <v>22</v>
      </c>
      <c r="C22" s="19" t="s">
        <v>23</v>
      </c>
      <c r="D22" s="20">
        <v>83907</v>
      </c>
      <c r="E22" s="17" t="s">
        <v>9</v>
      </c>
    </row>
    <row r="23" spans="1:5" ht="18.75" customHeight="1" x14ac:dyDescent="0.3">
      <c r="A23" s="14" t="s">
        <v>39</v>
      </c>
      <c r="B23" s="15" t="s">
        <v>7</v>
      </c>
      <c r="C23" s="15" t="s">
        <v>8</v>
      </c>
      <c r="D23" s="16">
        <v>8478</v>
      </c>
      <c r="E23" s="17" t="s">
        <v>9</v>
      </c>
    </row>
    <row r="24" spans="1:5" ht="18.75" customHeight="1" x14ac:dyDescent="0.3">
      <c r="A24" s="18" t="s">
        <v>40</v>
      </c>
      <c r="B24" s="19" t="s">
        <v>11</v>
      </c>
      <c r="C24" s="19" t="s">
        <v>12</v>
      </c>
      <c r="D24" s="20">
        <v>78563</v>
      </c>
      <c r="E24" s="21" t="s">
        <v>13</v>
      </c>
    </row>
    <row r="25" spans="1:5" ht="18.75" customHeight="1" x14ac:dyDescent="0.3">
      <c r="A25" s="14" t="s">
        <v>41</v>
      </c>
      <c r="B25" s="15" t="s">
        <v>15</v>
      </c>
      <c r="C25" s="15" t="s">
        <v>16</v>
      </c>
      <c r="D25" s="15"/>
      <c r="E25" s="22" t="s">
        <v>17</v>
      </c>
    </row>
    <row r="26" spans="1:5" ht="18.75" customHeight="1" x14ac:dyDescent="0.3">
      <c r="A26" s="18" t="s">
        <v>42</v>
      </c>
      <c r="B26" s="19" t="s">
        <v>19</v>
      </c>
      <c r="C26" s="19" t="s">
        <v>20</v>
      </c>
      <c r="D26" s="20">
        <v>90181</v>
      </c>
      <c r="E26" s="17" t="s">
        <v>9</v>
      </c>
    </row>
    <row r="27" spans="1:5" ht="18.75" customHeight="1" x14ac:dyDescent="0.3">
      <c r="A27" s="14" t="s">
        <v>43</v>
      </c>
      <c r="B27" s="15" t="s">
        <v>22</v>
      </c>
      <c r="C27" s="15" t="s">
        <v>23</v>
      </c>
      <c r="D27" s="16">
        <v>76426</v>
      </c>
      <c r="E27" s="22" t="s">
        <v>17</v>
      </c>
    </row>
    <row r="28" spans="1:5" ht="18.75" customHeight="1" x14ac:dyDescent="0.3">
      <c r="A28" s="18" t="s">
        <v>44</v>
      </c>
      <c r="B28" s="19" t="s">
        <v>7</v>
      </c>
      <c r="C28" s="19" t="s">
        <v>8</v>
      </c>
      <c r="D28" s="20">
        <v>59987</v>
      </c>
      <c r="E28" s="17" t="s">
        <v>9</v>
      </c>
    </row>
    <row r="29" spans="1:5" ht="18.75" customHeight="1" x14ac:dyDescent="0.3">
      <c r="A29" s="14" t="s">
        <v>45</v>
      </c>
      <c r="B29" s="15" t="s">
        <v>11</v>
      </c>
      <c r="C29" s="15" t="s">
        <v>12</v>
      </c>
      <c r="D29" s="16">
        <v>33893</v>
      </c>
      <c r="E29" s="21" t="s">
        <v>13</v>
      </c>
    </row>
    <row r="30" spans="1:5" ht="18.75" customHeight="1" x14ac:dyDescent="0.3">
      <c r="A30" s="18" t="s">
        <v>46</v>
      </c>
      <c r="B30" s="19" t="s">
        <v>15</v>
      </c>
      <c r="C30" s="19" t="s">
        <v>16</v>
      </c>
      <c r="D30" s="20">
        <v>63878</v>
      </c>
      <c r="E30" s="22" t="s">
        <v>17</v>
      </c>
    </row>
    <row r="31" spans="1:5" ht="18.75" customHeight="1" x14ac:dyDescent="0.3">
      <c r="A31" s="14" t="s">
        <v>47</v>
      </c>
      <c r="B31" s="15" t="s">
        <v>19</v>
      </c>
      <c r="C31" s="15" t="s">
        <v>20</v>
      </c>
      <c r="D31" s="16">
        <v>82236</v>
      </c>
      <c r="E31" s="17" t="s">
        <v>9</v>
      </c>
    </row>
    <row r="32" spans="1:5" ht="18.75" customHeight="1" x14ac:dyDescent="0.3">
      <c r="A32" s="18" t="s">
        <v>48</v>
      </c>
      <c r="B32" s="19" t="s">
        <v>22</v>
      </c>
      <c r="C32" s="19" t="s">
        <v>23</v>
      </c>
      <c r="D32" s="20">
        <v>41463</v>
      </c>
      <c r="E32" s="17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7132"/>
  </sheetPr>
  <dimension ref="A1:AF33"/>
  <sheetViews>
    <sheetView tabSelected="1" topLeftCell="L1" zoomScale="87" zoomScaleNormal="65" workbookViewId="0">
      <pane ySplit="3" topLeftCell="A27" activePane="bottomLeft" state="frozen"/>
      <selection pane="bottomLeft" activeCell="O14" sqref="O14"/>
    </sheetView>
  </sheetViews>
  <sheetFormatPr defaultColWidth="8.6640625" defaultRowHeight="14.4" x14ac:dyDescent="0.3"/>
  <cols>
    <col min="1" max="1" width="16.21875" customWidth="1"/>
    <col min="2" max="2" width="10" customWidth="1"/>
    <col min="3" max="3" width="10.33203125" customWidth="1"/>
    <col min="4" max="4" width="12.5546875" customWidth="1"/>
    <col min="5" max="5" width="16.77734375" customWidth="1"/>
    <col min="6" max="6" width="10.5546875"/>
    <col min="7" max="7" width="12.77734375" bestFit="1" customWidth="1"/>
    <col min="8" max="11" width="12.77734375" customWidth="1"/>
    <col min="12" max="12" width="15.44140625" bestFit="1" customWidth="1"/>
    <col min="13" max="16" width="12.77734375" customWidth="1"/>
    <col min="18" max="18" width="6" customWidth="1"/>
    <col min="19" max="19" width="18" customWidth="1"/>
    <col min="20" max="20" width="55" customWidth="1"/>
    <col min="21" max="21" width="28" customWidth="1"/>
    <col min="22" max="22" width="20" customWidth="1"/>
    <col min="25" max="25" width="16.21875" customWidth="1"/>
    <col min="26" max="26" width="8.109375" customWidth="1"/>
    <col min="27" max="27" width="10.33203125" customWidth="1"/>
    <col min="28" max="28" width="9.5546875" customWidth="1"/>
    <col min="29" max="29" width="10.77734375" customWidth="1"/>
  </cols>
  <sheetData>
    <row r="1" spans="1:32" ht="30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49</v>
      </c>
      <c r="G1" s="1" t="s">
        <v>154</v>
      </c>
      <c r="H1" s="1" t="s">
        <v>155</v>
      </c>
      <c r="I1" s="1" t="s">
        <v>157</v>
      </c>
      <c r="J1" s="1" t="s">
        <v>159</v>
      </c>
      <c r="K1" s="1" t="s">
        <v>161</v>
      </c>
      <c r="L1" s="1" t="s">
        <v>162</v>
      </c>
      <c r="M1" s="1"/>
      <c r="N1" s="1"/>
      <c r="O1" s="1"/>
      <c r="P1" s="1"/>
      <c r="R1" s="55" t="s">
        <v>50</v>
      </c>
      <c r="S1" s="55"/>
      <c r="T1" s="55"/>
      <c r="U1" s="55"/>
      <c r="V1" s="55"/>
    </row>
    <row r="2" spans="1:32" ht="19.5" customHeight="1" x14ac:dyDescent="0.3">
      <c r="A2" s="14" t="s">
        <v>6</v>
      </c>
      <c r="B2" s="15" t="s">
        <v>7</v>
      </c>
      <c r="C2" s="15" t="s">
        <v>8</v>
      </c>
      <c r="D2" s="16">
        <v>88810</v>
      </c>
      <c r="E2" s="17" t="s">
        <v>9</v>
      </c>
      <c r="F2" s="16">
        <v>3</v>
      </c>
      <c r="G2" t="str">
        <f>IF(D2&gt;=60000,"High","Low")</f>
        <v>High</v>
      </c>
      <c r="H2" t="str">
        <f>IF(E2="Completed","Achieved","Not Achieved")</f>
        <v>Achieved</v>
      </c>
      <c r="I2" t="str" cm="1">
        <f t="array" ref="I2">_xlfn.IFS(D2&gt;=75000,"A",D2&gt;=50000,"B",D2&lt;50000,"C")</f>
        <v>A</v>
      </c>
      <c r="J2" t="str" cm="1">
        <f t="array" ref="J2">_xlfn.IFS(B2="North","Zone-1",B2="South","Zone-2",B2="East","Zone-3",TRUE,"Zone-4")</f>
        <v>Zone-1</v>
      </c>
      <c r="K2" s="50">
        <f>IFERROR(IF(OR(D2="",D2=0),"N/A",D2/F2),"N/A")</f>
        <v>29603.333333333332</v>
      </c>
      <c r="L2" s="50" t="str" cm="1">
        <f t="array" ref="L2">_xlfn.IFS(D2&lt;=20000,"Low",D2&lt;60000,"Medium",D2&gt;=60000,"High")</f>
        <v>High</v>
      </c>
      <c r="M2" s="50"/>
      <c r="N2" s="50"/>
      <c r="O2" s="50"/>
      <c r="P2" s="50"/>
      <c r="R2" s="56" t="s">
        <v>51</v>
      </c>
      <c r="S2" s="56"/>
      <c r="T2" s="56"/>
      <c r="U2" s="56"/>
      <c r="V2" s="56"/>
    </row>
    <row r="3" spans="1:32" ht="21.75" customHeight="1" x14ac:dyDescent="0.3">
      <c r="A3" s="18" t="s">
        <v>10</v>
      </c>
      <c r="B3" s="19" t="s">
        <v>11</v>
      </c>
      <c r="C3" s="19" t="s">
        <v>12</v>
      </c>
      <c r="D3" s="20">
        <v>19592</v>
      </c>
      <c r="E3" s="21" t="s">
        <v>13</v>
      </c>
      <c r="F3" s="20">
        <v>0</v>
      </c>
      <c r="G3" t="str">
        <f t="shared" ref="G3:G31" si="0">IF(D3&gt;=60000,"High","Low")</f>
        <v>Low</v>
      </c>
      <c r="H3" t="str">
        <f t="shared" ref="H3:H31" si="1">IF(E3="Completed","Achieved","Not Achieved")</f>
        <v>Not Achieved</v>
      </c>
      <c r="I3" t="str" cm="1">
        <f t="array" ref="I3">_xlfn.IFS(D3&gt;=75000,"A",D3&gt;=50000,"B",D3&lt;50000,"C")</f>
        <v>C</v>
      </c>
      <c r="J3" t="str" cm="1">
        <f t="array" ref="J3">_xlfn.IFS(B3="North","Zone-1",B3="South","Zone-2",B3="East","Zone-3",TRUE,"Zone-4")</f>
        <v>Zone-2</v>
      </c>
      <c r="K3" s="50" t="str">
        <f t="shared" ref="K3:K31" si="2">IFERROR(IF(OR(D3="",D3=0),"N/A",D3/F3),"N/A")</f>
        <v>N/A</v>
      </c>
      <c r="L3" s="50" t="str" cm="1">
        <f t="array" ref="L3">_xlfn.IFS(D3&lt;=20000,"Low",D3&lt;60000,"Medium",D3&gt;=60000,"High")</f>
        <v>Low</v>
      </c>
      <c r="M3" s="50"/>
      <c r="N3" s="50"/>
      <c r="O3" s="50"/>
      <c r="P3" s="50"/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</row>
    <row r="4" spans="1:32" ht="37.5" customHeight="1" x14ac:dyDescent="0.3">
      <c r="A4" s="14" t="s">
        <v>14</v>
      </c>
      <c r="B4" s="15" t="s">
        <v>15</v>
      </c>
      <c r="C4" s="15" t="s">
        <v>16</v>
      </c>
      <c r="D4" s="16">
        <v>8278</v>
      </c>
      <c r="E4" s="22" t="s">
        <v>17</v>
      </c>
      <c r="F4" s="16">
        <v>0</v>
      </c>
      <c r="G4" t="str">
        <f t="shared" si="0"/>
        <v>Low</v>
      </c>
      <c r="H4" t="str">
        <f t="shared" si="1"/>
        <v>Not Achieved</v>
      </c>
      <c r="I4" t="str" cm="1">
        <f t="array" ref="I4">_xlfn.IFS(D4&gt;=75000,"A",D4&gt;=50000,"B",D4&lt;50000,"C")</f>
        <v>C</v>
      </c>
      <c r="J4" t="str" cm="1">
        <f t="array" ref="J4">_xlfn.IFS(B4="North","Zone-1",B4="South","Zone-2",B4="East","Zone-3",TRUE,"Zone-4")</f>
        <v>Zone-3</v>
      </c>
      <c r="K4" s="50" t="str">
        <f t="shared" si="2"/>
        <v>N/A</v>
      </c>
      <c r="L4" s="50" t="str" cm="1">
        <f t="array" ref="L4">_xlfn.IFS(D4&lt;=20000,"Low",D4&lt;60000,"Medium",D4&gt;=60000,"High")</f>
        <v>Low</v>
      </c>
      <c r="M4" s="50"/>
      <c r="N4" s="50"/>
      <c r="O4" s="50"/>
      <c r="P4" s="50"/>
      <c r="R4" s="23">
        <v>1</v>
      </c>
      <c r="S4" s="21" t="s">
        <v>57</v>
      </c>
      <c r="T4" s="24" t="s">
        <v>58</v>
      </c>
      <c r="U4" s="25" t="s">
        <v>59</v>
      </c>
      <c r="V4" s="26" t="s">
        <v>153</v>
      </c>
    </row>
    <row r="5" spans="1:32" ht="37.5" customHeight="1" x14ac:dyDescent="0.3">
      <c r="A5" s="18" t="s">
        <v>18</v>
      </c>
      <c r="B5" s="19" t="s">
        <v>19</v>
      </c>
      <c r="C5" s="19" t="s">
        <v>20</v>
      </c>
      <c r="D5" s="20">
        <v>41048</v>
      </c>
      <c r="E5" s="17" t="s">
        <v>9</v>
      </c>
      <c r="F5" s="20">
        <v>7</v>
      </c>
      <c r="G5" t="str">
        <f t="shared" si="0"/>
        <v>Low</v>
      </c>
      <c r="H5" t="str">
        <f t="shared" si="1"/>
        <v>Achieved</v>
      </c>
      <c r="I5" t="str" cm="1">
        <f t="array" ref="I5">_xlfn.IFS(D5&gt;=75000,"A",D5&gt;=50000,"B",D5&lt;50000,"C")</f>
        <v>C</v>
      </c>
      <c r="J5" t="str" cm="1">
        <f t="array" ref="J5">_xlfn.IFS(B5="North","Zone-1",B5="South","Zone-2",B5="East","Zone-3",TRUE,"Zone-4")</f>
        <v>Zone-4</v>
      </c>
      <c r="K5" s="50">
        <f t="shared" si="2"/>
        <v>5864</v>
      </c>
      <c r="L5" s="50" t="str" cm="1">
        <f t="array" ref="L5">_xlfn.IFS(D5&lt;=20000,"Low",D5&lt;60000,"Medium",D5&gt;=60000,"High")</f>
        <v>Medium</v>
      </c>
      <c r="M5" s="50"/>
      <c r="N5" s="50"/>
      <c r="O5" s="50"/>
      <c r="P5" s="50"/>
      <c r="R5" s="23">
        <v>2</v>
      </c>
      <c r="S5" s="21" t="s">
        <v>57</v>
      </c>
      <c r="T5" s="27" t="s">
        <v>60</v>
      </c>
      <c r="U5" s="25" t="s">
        <v>61</v>
      </c>
      <c r="V5" s="26" t="s">
        <v>156</v>
      </c>
      <c r="Y5" s="28" t="s">
        <v>62</v>
      </c>
      <c r="Z5" s="45"/>
      <c r="AA5" s="45"/>
      <c r="AB5" s="45"/>
      <c r="AC5" s="45"/>
      <c r="AD5" s="45"/>
      <c r="AE5" s="45"/>
      <c r="AF5" s="46"/>
    </row>
    <row r="6" spans="1:32" ht="37.5" customHeight="1" x14ac:dyDescent="0.3">
      <c r="A6" s="14" t="s">
        <v>21</v>
      </c>
      <c r="B6" s="15" t="s">
        <v>22</v>
      </c>
      <c r="C6" s="15" t="s">
        <v>23</v>
      </c>
      <c r="D6" s="16">
        <v>37098</v>
      </c>
      <c r="E6" s="22" t="s">
        <v>17</v>
      </c>
      <c r="F6" s="16">
        <v>0</v>
      </c>
      <c r="G6" t="str">
        <f t="shared" si="0"/>
        <v>Low</v>
      </c>
      <c r="H6" t="str">
        <f t="shared" si="1"/>
        <v>Not Achieved</v>
      </c>
      <c r="I6" t="str" cm="1">
        <f t="array" ref="I6">_xlfn.IFS(D6&gt;=75000,"A",D6&gt;=50000,"B",D6&lt;50000,"C")</f>
        <v>C</v>
      </c>
      <c r="J6" t="str" cm="1">
        <f t="array" ref="J6">_xlfn.IFS(B6="North","Zone-1",B6="South","Zone-2",B6="East","Zone-3",TRUE,"Zone-4")</f>
        <v>Zone-4</v>
      </c>
      <c r="K6" s="50" t="str">
        <f t="shared" si="2"/>
        <v>N/A</v>
      </c>
      <c r="L6" s="50" t="str" cm="1">
        <f t="array" ref="L6">_xlfn.IFS(D6&lt;=20000,"Low",D6&lt;60000,"Medium",D6&gt;=60000,"High")</f>
        <v>Medium</v>
      </c>
      <c r="M6" s="50"/>
      <c r="N6" s="50"/>
      <c r="O6" s="50"/>
      <c r="P6" s="50"/>
      <c r="R6" s="29">
        <v>3</v>
      </c>
      <c r="S6" s="17" t="s">
        <v>63</v>
      </c>
      <c r="T6" s="24" t="s">
        <v>64</v>
      </c>
      <c r="U6" s="25" t="s">
        <v>65</v>
      </c>
      <c r="V6" s="26" t="s">
        <v>158</v>
      </c>
      <c r="Y6" s="30" t="s">
        <v>66</v>
      </c>
      <c r="AF6" s="47"/>
    </row>
    <row r="7" spans="1:32" ht="37.5" customHeight="1" x14ac:dyDescent="0.3">
      <c r="A7" s="18" t="s">
        <v>24</v>
      </c>
      <c r="B7" s="19" t="s">
        <v>7</v>
      </c>
      <c r="C7" s="19" t="s">
        <v>8</v>
      </c>
      <c r="D7" s="20">
        <v>34256</v>
      </c>
      <c r="E7" s="17" t="s">
        <v>9</v>
      </c>
      <c r="F7" s="20">
        <v>7</v>
      </c>
      <c r="G7" t="str">
        <f t="shared" si="0"/>
        <v>Low</v>
      </c>
      <c r="H7" t="str">
        <f t="shared" si="1"/>
        <v>Achieved</v>
      </c>
      <c r="I7" t="str" cm="1">
        <f t="array" ref="I7">_xlfn.IFS(D7&gt;=75000,"A",D7&gt;=50000,"B",D7&lt;50000,"C")</f>
        <v>C</v>
      </c>
      <c r="J7" t="str" cm="1">
        <f t="array" ref="J7">_xlfn.IFS(B7="North","Zone-1",B7="South","Zone-2",B7="East","Zone-3",TRUE,"Zone-4")</f>
        <v>Zone-1</v>
      </c>
      <c r="K7" s="50">
        <f t="shared" si="2"/>
        <v>4893.7142857142853</v>
      </c>
      <c r="L7" s="50" t="str" cm="1">
        <f t="array" ref="L7">_xlfn.IFS(D7&lt;=20000,"Low",D7&lt;60000,"Medium",D7&gt;=60000,"High")</f>
        <v>Medium</v>
      </c>
      <c r="M7" s="50"/>
      <c r="N7" s="50"/>
      <c r="O7" s="50"/>
      <c r="P7" s="50"/>
      <c r="R7" s="29">
        <v>4</v>
      </c>
      <c r="S7" s="17" t="s">
        <v>63</v>
      </c>
      <c r="T7" s="27" t="s">
        <v>67</v>
      </c>
      <c r="U7" s="25" t="s">
        <v>68</v>
      </c>
      <c r="V7" s="26" t="s">
        <v>160</v>
      </c>
      <c r="Y7" s="31"/>
      <c r="AF7" s="47"/>
    </row>
    <row r="8" spans="1:32" ht="37.5" customHeight="1" x14ac:dyDescent="0.3">
      <c r="A8" s="14" t="s">
        <v>25</v>
      </c>
      <c r="B8" s="15" t="s">
        <v>11</v>
      </c>
      <c r="C8" s="15" t="s">
        <v>12</v>
      </c>
      <c r="D8" s="16">
        <v>23289</v>
      </c>
      <c r="E8" s="21" t="s">
        <v>13</v>
      </c>
      <c r="F8" s="16">
        <v>8</v>
      </c>
      <c r="G8" t="str">
        <f t="shared" si="0"/>
        <v>Low</v>
      </c>
      <c r="H8" t="str">
        <f t="shared" si="1"/>
        <v>Not Achieved</v>
      </c>
      <c r="I8" t="str" cm="1">
        <f t="array" ref="I8">_xlfn.IFS(D8&gt;=75000,"A",D8&gt;=50000,"B",D8&lt;50000,"C")</f>
        <v>C</v>
      </c>
      <c r="J8" t="str" cm="1">
        <f t="array" ref="J8">_xlfn.IFS(B8="North","Zone-1",B8="South","Zone-2",B8="East","Zone-3",TRUE,"Zone-4")</f>
        <v>Zone-2</v>
      </c>
      <c r="K8" s="50">
        <f t="shared" si="2"/>
        <v>2911.125</v>
      </c>
      <c r="L8" s="50" t="str" cm="1">
        <f t="array" ref="L8">_xlfn.IFS(D8&lt;=20000,"Low",D8&lt;60000,"Medium",D8&gt;=60000,"High")</f>
        <v>Medium</v>
      </c>
      <c r="M8" s="50"/>
      <c r="N8" s="50"/>
      <c r="O8" s="50"/>
      <c r="P8" s="50"/>
      <c r="R8" s="32">
        <v>5</v>
      </c>
      <c r="S8" s="33" t="s">
        <v>69</v>
      </c>
      <c r="T8" s="24" t="s">
        <v>70</v>
      </c>
      <c r="U8" s="25" t="s">
        <v>71</v>
      </c>
      <c r="V8" s="34"/>
      <c r="Y8" s="35" t="s">
        <v>72</v>
      </c>
      <c r="AF8" s="47"/>
    </row>
    <row r="9" spans="1:32" ht="37.5" customHeight="1" x14ac:dyDescent="0.3">
      <c r="A9" s="18" t="s">
        <v>26</v>
      </c>
      <c r="B9" s="19" t="s">
        <v>15</v>
      </c>
      <c r="C9" s="19" t="s">
        <v>16</v>
      </c>
      <c r="D9" s="19"/>
      <c r="E9" s="22" t="s">
        <v>17</v>
      </c>
      <c r="F9" s="20">
        <v>4</v>
      </c>
      <c r="G9" t="str">
        <f t="shared" si="0"/>
        <v>Low</v>
      </c>
      <c r="H9" t="str">
        <f t="shared" si="1"/>
        <v>Not Achieved</v>
      </c>
      <c r="I9" t="str" cm="1">
        <f t="array" ref="I9">_xlfn.IFS(D9&gt;=75000,"A",D9&gt;=50000,"B",D9&lt;50000,"C")</f>
        <v>C</v>
      </c>
      <c r="J9" t="str" cm="1">
        <f t="array" ref="J9">_xlfn.IFS(B9="North","Zone-1",B9="South","Zone-2",B9="East","Zone-3",TRUE,"Zone-4")</f>
        <v>Zone-3</v>
      </c>
      <c r="K9" s="50" t="str">
        <f t="shared" si="2"/>
        <v>N/A</v>
      </c>
      <c r="L9" s="50" t="str" cm="1">
        <f t="array" ref="L9">_xlfn.IFS(D9&lt;=20000,"Low",D9&lt;60000,"Medium",D9&gt;=60000,"High")</f>
        <v>Low</v>
      </c>
      <c r="M9" s="50"/>
      <c r="N9" s="50"/>
      <c r="O9" s="50"/>
      <c r="P9" s="50"/>
      <c r="R9" s="36">
        <v>6</v>
      </c>
      <c r="S9" s="37" t="s">
        <v>73</v>
      </c>
      <c r="T9" s="24" t="s">
        <v>74</v>
      </c>
      <c r="U9" s="25" t="s">
        <v>75</v>
      </c>
      <c r="V9" s="26">
        <f>COUNT(D2:D31)</f>
        <v>27</v>
      </c>
      <c r="Y9" s="30" t="s">
        <v>76</v>
      </c>
      <c r="AF9" s="47"/>
    </row>
    <row r="10" spans="1:32" ht="37.5" customHeight="1" x14ac:dyDescent="0.3">
      <c r="A10" s="14" t="s">
        <v>27</v>
      </c>
      <c r="B10" s="15" t="s">
        <v>19</v>
      </c>
      <c r="C10" s="15" t="s">
        <v>20</v>
      </c>
      <c r="D10" s="16">
        <v>93696</v>
      </c>
      <c r="E10" s="17" t="s">
        <v>9</v>
      </c>
      <c r="F10" s="16">
        <v>3</v>
      </c>
      <c r="G10" t="str">
        <f t="shared" si="0"/>
        <v>High</v>
      </c>
      <c r="H10" t="str">
        <f t="shared" si="1"/>
        <v>Achieved</v>
      </c>
      <c r="I10" t="str" cm="1">
        <f t="array" ref="I10">_xlfn.IFS(D10&gt;=75000,"A",D10&gt;=50000,"B",D10&lt;50000,"C")</f>
        <v>A</v>
      </c>
      <c r="J10" t="str" cm="1">
        <f t="array" ref="J10">_xlfn.IFS(B10="North","Zone-1",B10="South","Zone-2",B10="East","Zone-3",TRUE,"Zone-4")</f>
        <v>Zone-4</v>
      </c>
      <c r="K10" s="50">
        <f t="shared" si="2"/>
        <v>31232</v>
      </c>
      <c r="L10" s="50" t="str" cm="1">
        <f t="array" ref="L10">_xlfn.IFS(D10&lt;=20000,"Low",D10&lt;60000,"Medium",D10&gt;=60000,"High")</f>
        <v>High</v>
      </c>
      <c r="M10" s="50"/>
      <c r="N10" s="50"/>
      <c r="O10" s="50"/>
      <c r="P10" s="50"/>
      <c r="R10" s="36">
        <v>7</v>
      </c>
      <c r="S10" s="37" t="s">
        <v>77</v>
      </c>
      <c r="T10" s="27" t="s">
        <v>78</v>
      </c>
      <c r="U10" s="25" t="s">
        <v>79</v>
      </c>
      <c r="V10" s="26">
        <f>COUNTA(A2:A31)</f>
        <v>30</v>
      </c>
      <c r="Y10" s="31"/>
      <c r="AF10" s="47"/>
    </row>
    <row r="11" spans="1:32" ht="37.5" customHeight="1" x14ac:dyDescent="0.3">
      <c r="A11" s="18" t="s">
        <v>28</v>
      </c>
      <c r="B11" s="19" t="s">
        <v>22</v>
      </c>
      <c r="C11" s="19" t="s">
        <v>23</v>
      </c>
      <c r="D11" s="20">
        <v>76482</v>
      </c>
      <c r="E11" s="17" t="s">
        <v>9</v>
      </c>
      <c r="F11" s="20">
        <v>0</v>
      </c>
      <c r="G11" t="str">
        <f t="shared" si="0"/>
        <v>High</v>
      </c>
      <c r="H11" t="str">
        <f t="shared" si="1"/>
        <v>Achieved</v>
      </c>
      <c r="I11" t="str" cm="1">
        <f t="array" ref="I11">_xlfn.IFS(D11&gt;=75000,"A",D11&gt;=50000,"B",D11&lt;50000,"C")</f>
        <v>A</v>
      </c>
      <c r="J11" t="str" cm="1">
        <f t="array" ref="J11">_xlfn.IFS(B11="North","Zone-1",B11="South","Zone-2",B11="East","Zone-3",TRUE,"Zone-4")</f>
        <v>Zone-4</v>
      </c>
      <c r="K11" s="50" t="str">
        <f t="shared" si="2"/>
        <v>N/A</v>
      </c>
      <c r="L11" s="50" t="str" cm="1">
        <f t="array" ref="L11">_xlfn.IFS(D11&lt;=20000,"Low",D11&lt;60000,"Medium",D11&gt;=60000,"High")</f>
        <v>High</v>
      </c>
      <c r="M11" s="50"/>
      <c r="N11" s="50"/>
      <c r="O11" s="50"/>
      <c r="P11" s="50"/>
      <c r="R11" s="38">
        <v>8</v>
      </c>
      <c r="S11" s="39" t="s">
        <v>80</v>
      </c>
      <c r="T11" s="24" t="s">
        <v>81</v>
      </c>
      <c r="U11" s="25" t="s">
        <v>82</v>
      </c>
      <c r="V11" s="26">
        <f>COUNTBLANK(D2:D31)</f>
        <v>3</v>
      </c>
      <c r="Y11" s="31" t="s">
        <v>83</v>
      </c>
      <c r="AF11" s="47"/>
    </row>
    <row r="12" spans="1:32" ht="37.5" customHeight="1" x14ac:dyDescent="0.3">
      <c r="A12" s="14" t="s">
        <v>29</v>
      </c>
      <c r="B12" s="15" t="s">
        <v>7</v>
      </c>
      <c r="C12" s="15" t="s">
        <v>8</v>
      </c>
      <c r="D12" s="16">
        <v>16395</v>
      </c>
      <c r="E12" s="17" t="s">
        <v>9</v>
      </c>
      <c r="F12" s="16">
        <v>2</v>
      </c>
      <c r="G12" t="str">
        <f t="shared" si="0"/>
        <v>Low</v>
      </c>
      <c r="H12" t="str">
        <f t="shared" si="1"/>
        <v>Achieved</v>
      </c>
      <c r="I12" t="str" cm="1">
        <f t="array" ref="I12">_xlfn.IFS(D12&gt;=75000,"A",D12&gt;=50000,"B",D12&lt;50000,"C")</f>
        <v>C</v>
      </c>
      <c r="J12" t="str" cm="1">
        <f t="array" ref="J12">_xlfn.IFS(B12="North","Zone-1",B12="South","Zone-2",B12="East","Zone-3",TRUE,"Zone-4")</f>
        <v>Zone-1</v>
      </c>
      <c r="K12" s="50">
        <f t="shared" si="2"/>
        <v>8197.5</v>
      </c>
      <c r="L12" s="50" t="str" cm="1">
        <f t="array" ref="L12">_xlfn.IFS(D12&lt;=20000,"Low",D12&lt;60000,"Medium",D12&gt;=60000,"High")</f>
        <v>Low</v>
      </c>
      <c r="M12" s="50"/>
      <c r="N12" s="50"/>
      <c r="O12" s="50"/>
      <c r="P12" s="50"/>
      <c r="R12" s="40">
        <v>9</v>
      </c>
      <c r="S12" s="41" t="s">
        <v>84</v>
      </c>
      <c r="T12" s="24" t="s">
        <v>85</v>
      </c>
      <c r="U12" s="25" t="s">
        <v>86</v>
      </c>
      <c r="V12" s="26">
        <f>COUNTIF(E2:E31,"=Completed")</f>
        <v>17</v>
      </c>
      <c r="Y12" s="31"/>
      <c r="AF12" s="47"/>
    </row>
    <row r="13" spans="1:32" ht="37.5" customHeight="1" x14ac:dyDescent="0.3">
      <c r="A13" s="18" t="s">
        <v>30</v>
      </c>
      <c r="B13" s="19" t="s">
        <v>11</v>
      </c>
      <c r="C13" s="19" t="s">
        <v>12</v>
      </c>
      <c r="D13" s="20">
        <v>82397</v>
      </c>
      <c r="E13" s="21" t="s">
        <v>13</v>
      </c>
      <c r="F13" s="20">
        <v>5</v>
      </c>
      <c r="G13" t="str">
        <f t="shared" si="0"/>
        <v>High</v>
      </c>
      <c r="H13" t="str">
        <f t="shared" si="1"/>
        <v>Not Achieved</v>
      </c>
      <c r="I13" t="str" cm="1">
        <f t="array" ref="I13">_xlfn.IFS(D13&gt;=75000,"A",D13&gt;=50000,"B",D13&lt;50000,"C")</f>
        <v>A</v>
      </c>
      <c r="J13" t="str" cm="1">
        <f t="array" ref="J13">_xlfn.IFS(B13="North","Zone-1",B13="South","Zone-2",B13="East","Zone-3",TRUE,"Zone-4")</f>
        <v>Zone-2</v>
      </c>
      <c r="K13" s="50">
        <f t="shared" si="2"/>
        <v>16479.400000000001</v>
      </c>
      <c r="L13" s="50" t="str" cm="1">
        <f t="array" ref="L13">_xlfn.IFS(D13&lt;=20000,"Low",D13&lt;60000,"Medium",D13&gt;=60000,"High")</f>
        <v>High</v>
      </c>
      <c r="M13" s="50"/>
      <c r="N13" s="50"/>
      <c r="O13" s="50"/>
      <c r="P13" s="50"/>
      <c r="R13" s="40">
        <v>10</v>
      </c>
      <c r="S13" s="41" t="s">
        <v>84</v>
      </c>
      <c r="T13" s="27" t="s">
        <v>87</v>
      </c>
      <c r="U13" s="25" t="s">
        <v>88</v>
      </c>
      <c r="V13" s="26">
        <f>COUNTIF(B2:B31, "=West")</f>
        <v>6</v>
      </c>
      <c r="Y13" s="30" t="s">
        <v>89</v>
      </c>
      <c r="AF13" s="47"/>
    </row>
    <row r="14" spans="1:32" ht="37.5" customHeight="1" x14ac:dyDescent="0.3">
      <c r="A14" s="14" t="s">
        <v>31</v>
      </c>
      <c r="B14" s="15" t="s">
        <v>15</v>
      </c>
      <c r="C14" s="15" t="s">
        <v>16</v>
      </c>
      <c r="D14" s="16">
        <v>60302</v>
      </c>
      <c r="E14" s="22" t="s">
        <v>17</v>
      </c>
      <c r="F14" s="16">
        <v>6</v>
      </c>
      <c r="G14" t="str">
        <f t="shared" si="0"/>
        <v>High</v>
      </c>
      <c r="H14" t="str">
        <f t="shared" si="1"/>
        <v>Not Achieved</v>
      </c>
      <c r="I14" t="str" cm="1">
        <f t="array" ref="I14">_xlfn.IFS(D14&gt;=75000,"A",D14&gt;=50000,"B",D14&lt;50000,"C")</f>
        <v>B</v>
      </c>
      <c r="J14" t="str" cm="1">
        <f t="array" ref="J14">_xlfn.IFS(B14="North","Zone-1",B14="South","Zone-2",B14="East","Zone-3",TRUE,"Zone-4")</f>
        <v>Zone-3</v>
      </c>
      <c r="K14" s="50">
        <f t="shared" si="2"/>
        <v>10050.333333333334</v>
      </c>
      <c r="L14" s="50" t="str" cm="1">
        <f t="array" ref="L14">_xlfn.IFS(D14&lt;=20000,"Low",D14&lt;60000,"Medium",D14&gt;=60000,"High")</f>
        <v>High</v>
      </c>
      <c r="M14" s="50"/>
      <c r="N14" s="50"/>
      <c r="O14" s="50"/>
      <c r="P14" s="50"/>
      <c r="R14" s="40">
        <v>11</v>
      </c>
      <c r="S14" s="41" t="s">
        <v>84</v>
      </c>
      <c r="T14" s="24" t="s">
        <v>90</v>
      </c>
      <c r="U14" s="25" t="s">
        <v>91</v>
      </c>
      <c r="V14" s="26">
        <f>COUNTIF(D2:D31, "&gt;70000")</f>
        <v>10</v>
      </c>
      <c r="Y14" s="31"/>
      <c r="AF14" s="47"/>
    </row>
    <row r="15" spans="1:32" ht="37.5" customHeight="1" x14ac:dyDescent="0.3">
      <c r="A15" s="18" t="s">
        <v>32</v>
      </c>
      <c r="B15" s="19" t="s">
        <v>19</v>
      </c>
      <c r="C15" s="19" t="s">
        <v>20</v>
      </c>
      <c r="D15" s="20">
        <v>9165</v>
      </c>
      <c r="E15" s="17" t="s">
        <v>9</v>
      </c>
      <c r="F15" s="20">
        <v>4</v>
      </c>
      <c r="G15" t="str">
        <f t="shared" si="0"/>
        <v>Low</v>
      </c>
      <c r="H15" t="str">
        <f t="shared" si="1"/>
        <v>Achieved</v>
      </c>
      <c r="I15" t="str" cm="1">
        <f t="array" ref="I15">_xlfn.IFS(D15&gt;=75000,"A",D15&gt;=50000,"B",D15&lt;50000,"C")</f>
        <v>C</v>
      </c>
      <c r="J15" t="str" cm="1">
        <f t="array" ref="J15">_xlfn.IFS(B15="North","Zone-1",B15="South","Zone-2",B15="East","Zone-3",TRUE,"Zone-4")</f>
        <v>Zone-4</v>
      </c>
      <c r="K15" s="50">
        <f t="shared" si="2"/>
        <v>2291.25</v>
      </c>
      <c r="L15" s="50" t="str" cm="1">
        <f t="array" ref="L15">_xlfn.IFS(D15&lt;=20000,"Low",D15&lt;60000,"Medium",D15&gt;=60000,"High")</f>
        <v>Low</v>
      </c>
      <c r="M15" s="50"/>
      <c r="N15" s="50"/>
      <c r="O15" s="50"/>
      <c r="P15" s="50"/>
      <c r="R15" s="40">
        <v>12</v>
      </c>
      <c r="S15" s="41" t="s">
        <v>84</v>
      </c>
      <c r="T15" s="27" t="s">
        <v>92</v>
      </c>
      <c r="U15" s="25" t="s">
        <v>88</v>
      </c>
      <c r="V15" s="26">
        <f>COUNTIF(C2:C31,"=Furniture")</f>
        <v>6</v>
      </c>
      <c r="Y15" s="30" t="s">
        <v>93</v>
      </c>
      <c r="AF15" s="47"/>
    </row>
    <row r="16" spans="1:32" ht="37.5" customHeight="1" x14ac:dyDescent="0.3">
      <c r="A16" s="14" t="s">
        <v>33</v>
      </c>
      <c r="B16" s="15" t="s">
        <v>22</v>
      </c>
      <c r="C16" s="15" t="s">
        <v>23</v>
      </c>
      <c r="D16" s="16">
        <v>8905</v>
      </c>
      <c r="E16" s="17" t="s">
        <v>9</v>
      </c>
      <c r="F16" s="16">
        <v>3</v>
      </c>
      <c r="G16" t="str">
        <f t="shared" si="0"/>
        <v>Low</v>
      </c>
      <c r="H16" t="str">
        <f t="shared" si="1"/>
        <v>Achieved</v>
      </c>
      <c r="I16" t="str" cm="1">
        <f t="array" ref="I16">_xlfn.IFS(D16&gt;=75000,"A",D16&gt;=50000,"B",D16&lt;50000,"C")</f>
        <v>C</v>
      </c>
      <c r="J16" t="str" cm="1">
        <f t="array" ref="J16">_xlfn.IFS(B16="North","Zone-1",B16="South","Zone-2",B16="East","Zone-3",TRUE,"Zone-4")</f>
        <v>Zone-4</v>
      </c>
      <c r="K16" s="50">
        <f t="shared" si="2"/>
        <v>2968.3333333333335</v>
      </c>
      <c r="L16" s="50" t="str" cm="1">
        <f t="array" ref="L16">_xlfn.IFS(D16&lt;=20000,"Low",D16&lt;60000,"Medium",D16&gt;=60000,"High")</f>
        <v>Low</v>
      </c>
      <c r="M16" s="50"/>
      <c r="N16" s="50"/>
      <c r="O16" s="50"/>
      <c r="P16" s="50"/>
      <c r="R16" s="40">
        <v>13</v>
      </c>
      <c r="S16" s="41" t="s">
        <v>94</v>
      </c>
      <c r="T16" s="24" t="s">
        <v>95</v>
      </c>
      <c r="U16" s="25" t="s">
        <v>91</v>
      </c>
      <c r="V16" s="26">
        <f>COUNTIFS(E2:E31,"=Completed",C2:C31,"=Clothing")</f>
        <v>1</v>
      </c>
      <c r="Y16" s="42"/>
      <c r="Z16" s="48"/>
      <c r="AA16" s="48"/>
      <c r="AB16" s="48"/>
      <c r="AC16" s="48"/>
      <c r="AD16" s="48"/>
      <c r="AE16" s="48"/>
      <c r="AF16" s="49"/>
    </row>
    <row r="17" spans="1:22" ht="37.5" customHeight="1" x14ac:dyDescent="0.3">
      <c r="A17" s="18" t="s">
        <v>34</v>
      </c>
      <c r="B17" s="19" t="s">
        <v>7</v>
      </c>
      <c r="C17" s="19" t="s">
        <v>8</v>
      </c>
      <c r="D17" s="19"/>
      <c r="E17" s="17" t="s">
        <v>9</v>
      </c>
      <c r="F17" s="20">
        <v>3</v>
      </c>
      <c r="G17" t="str">
        <f t="shared" si="0"/>
        <v>Low</v>
      </c>
      <c r="H17" t="str">
        <f t="shared" si="1"/>
        <v>Achieved</v>
      </c>
      <c r="I17" t="str" cm="1">
        <f t="array" ref="I17">_xlfn.IFS(D17&gt;=75000,"A",D17&gt;=50000,"B",D17&lt;50000,"C")</f>
        <v>C</v>
      </c>
      <c r="J17" t="str" cm="1">
        <f t="array" ref="J17">_xlfn.IFS(B17="North","Zone-1",B17="South","Zone-2",B17="East","Zone-3",TRUE,"Zone-4")</f>
        <v>Zone-1</v>
      </c>
      <c r="K17" s="50" t="str">
        <f t="shared" si="2"/>
        <v>N/A</v>
      </c>
      <c r="L17" s="50" t="str" cm="1">
        <f t="array" ref="L17">_xlfn.IFS(D17&lt;=20000,"Low",D17&lt;60000,"Medium",D17&gt;=60000,"High")</f>
        <v>Low</v>
      </c>
      <c r="M17" s="50"/>
      <c r="N17" s="50"/>
      <c r="O17" s="50"/>
      <c r="P17" s="50"/>
      <c r="R17" s="40">
        <v>14</v>
      </c>
      <c r="S17" s="41" t="s">
        <v>94</v>
      </c>
      <c r="T17" s="27" t="s">
        <v>96</v>
      </c>
      <c r="U17" s="25" t="s">
        <v>91</v>
      </c>
      <c r="V17" s="26">
        <f>COUNTIFS(B2:B31,"=South",D2:D31,"&gt;40000")</f>
        <v>2</v>
      </c>
    </row>
    <row r="18" spans="1:22" ht="37.5" customHeight="1" x14ac:dyDescent="0.3">
      <c r="A18" s="14" t="s">
        <v>35</v>
      </c>
      <c r="B18" s="15" t="s">
        <v>11</v>
      </c>
      <c r="C18" s="15" t="s">
        <v>12</v>
      </c>
      <c r="D18" s="16">
        <v>33657</v>
      </c>
      <c r="E18" s="21" t="s">
        <v>13</v>
      </c>
      <c r="F18" s="16">
        <v>5</v>
      </c>
      <c r="G18" t="str">
        <f t="shared" si="0"/>
        <v>Low</v>
      </c>
      <c r="H18" t="str">
        <f t="shared" si="1"/>
        <v>Not Achieved</v>
      </c>
      <c r="I18" t="str" cm="1">
        <f t="array" ref="I18">_xlfn.IFS(D18&gt;=75000,"A",D18&gt;=50000,"B",D18&lt;50000,"C")</f>
        <v>C</v>
      </c>
      <c r="J18" t="str" cm="1">
        <f t="array" ref="J18">_xlfn.IFS(B18="North","Zone-1",B18="South","Zone-2",B18="East","Zone-3",TRUE,"Zone-4")</f>
        <v>Zone-2</v>
      </c>
      <c r="K18" s="50">
        <f t="shared" si="2"/>
        <v>6731.4</v>
      </c>
      <c r="L18" s="50" t="str" cm="1">
        <f t="array" ref="L18">_xlfn.IFS(D18&lt;=20000,"Low",D18&lt;60000,"Medium",D18&gt;=60000,"High")</f>
        <v>Medium</v>
      </c>
      <c r="M18" s="50"/>
      <c r="N18" s="50"/>
      <c r="O18" s="50"/>
      <c r="P18" s="50"/>
      <c r="R18" s="40">
        <v>15</v>
      </c>
      <c r="S18" s="41" t="s">
        <v>94</v>
      </c>
      <c r="T18" s="24" t="s">
        <v>97</v>
      </c>
      <c r="U18" s="25" t="s">
        <v>91</v>
      </c>
      <c r="V18" s="26">
        <f>COUNTIFS(E2:E31,"=Completed",C2:C31,"=Electronics")</f>
        <v>6</v>
      </c>
    </row>
    <row r="19" spans="1:22" ht="37.5" customHeight="1" x14ac:dyDescent="0.3">
      <c r="A19" s="18" t="s">
        <v>36</v>
      </c>
      <c r="B19" s="19" t="s">
        <v>15</v>
      </c>
      <c r="C19" s="19" t="s">
        <v>16</v>
      </c>
      <c r="D19" s="20">
        <v>35495</v>
      </c>
      <c r="E19" s="22" t="s">
        <v>17</v>
      </c>
      <c r="F19" s="20">
        <v>5</v>
      </c>
      <c r="G19" t="str">
        <f t="shared" si="0"/>
        <v>Low</v>
      </c>
      <c r="H19" t="str">
        <f t="shared" si="1"/>
        <v>Not Achieved</v>
      </c>
      <c r="I19" t="str" cm="1">
        <f t="array" ref="I19">_xlfn.IFS(D19&gt;=75000,"A",D19&gt;=50000,"B",D19&lt;50000,"C")</f>
        <v>C</v>
      </c>
      <c r="J19" t="str" cm="1">
        <f t="array" ref="J19">_xlfn.IFS(B19="North","Zone-1",B19="South","Zone-2",B19="East","Zone-3",TRUE,"Zone-4")</f>
        <v>Zone-3</v>
      </c>
      <c r="K19" s="50">
        <f t="shared" si="2"/>
        <v>7099</v>
      </c>
      <c r="L19" s="50" t="str" cm="1">
        <f t="array" ref="L19">_xlfn.IFS(D19&lt;=20000,"Low",D19&lt;60000,"Medium",D19&gt;=60000,"High")</f>
        <v>Medium</v>
      </c>
      <c r="M19" s="50"/>
      <c r="N19" s="50"/>
      <c r="O19" s="50"/>
      <c r="P19" s="50"/>
      <c r="R19" s="29">
        <v>16</v>
      </c>
      <c r="S19" s="17" t="s">
        <v>98</v>
      </c>
      <c r="T19" s="27" t="s">
        <v>99</v>
      </c>
      <c r="U19" s="25" t="s">
        <v>100</v>
      </c>
      <c r="V19" s="26">
        <f>SUMIF(E2:E31,"=Completed",D2:D31)</f>
        <v>840139</v>
      </c>
    </row>
    <row r="20" spans="1:22" ht="37.5" customHeight="1" x14ac:dyDescent="0.3">
      <c r="A20" s="14" t="s">
        <v>37</v>
      </c>
      <c r="B20" s="15" t="s">
        <v>19</v>
      </c>
      <c r="C20" s="15" t="s">
        <v>20</v>
      </c>
      <c r="D20" s="16">
        <v>71237</v>
      </c>
      <c r="E20" s="17" t="s">
        <v>9</v>
      </c>
      <c r="F20" s="16">
        <v>5</v>
      </c>
      <c r="G20" t="str">
        <f t="shared" si="0"/>
        <v>High</v>
      </c>
      <c r="H20" t="str">
        <f t="shared" si="1"/>
        <v>Achieved</v>
      </c>
      <c r="I20" t="str" cm="1">
        <f t="array" ref="I20">_xlfn.IFS(D20&gt;=75000,"A",D20&gt;=50000,"B",D20&lt;50000,"C")</f>
        <v>B</v>
      </c>
      <c r="J20" t="str" cm="1">
        <f t="array" ref="J20">_xlfn.IFS(B20="North","Zone-1",B20="South","Zone-2",B20="East","Zone-3",TRUE,"Zone-4")</f>
        <v>Zone-4</v>
      </c>
      <c r="K20" s="50">
        <f t="shared" si="2"/>
        <v>14247.4</v>
      </c>
      <c r="L20" s="50" t="str" cm="1">
        <f t="array" ref="L20">_xlfn.IFS(D20&lt;=20000,"Low",D20&lt;60000,"Medium",D20&gt;=60000,"High")</f>
        <v>High</v>
      </c>
      <c r="M20" s="50"/>
      <c r="N20" s="50"/>
      <c r="O20" s="50"/>
      <c r="P20" s="50"/>
      <c r="R20" s="29">
        <v>17</v>
      </c>
      <c r="S20" s="17" t="s">
        <v>98</v>
      </c>
      <c r="T20" s="24" t="s">
        <v>101</v>
      </c>
      <c r="U20" s="25" t="s">
        <v>102</v>
      </c>
      <c r="V20" s="26">
        <f>SUMIF(B2:B31,"=Central",D2:D31)</f>
        <v>324281</v>
      </c>
    </row>
    <row r="21" spans="1:22" ht="37.5" customHeight="1" x14ac:dyDescent="0.3">
      <c r="A21" s="18" t="s">
        <v>38</v>
      </c>
      <c r="B21" s="19" t="s">
        <v>22</v>
      </c>
      <c r="C21" s="19" t="s">
        <v>23</v>
      </c>
      <c r="D21" s="20">
        <v>83907</v>
      </c>
      <c r="E21" s="17" t="s">
        <v>9</v>
      </c>
      <c r="F21" s="20">
        <v>6</v>
      </c>
      <c r="G21" t="str">
        <f t="shared" si="0"/>
        <v>High</v>
      </c>
      <c r="H21" t="str">
        <f t="shared" si="1"/>
        <v>Achieved</v>
      </c>
      <c r="I21" t="str" cm="1">
        <f t="array" ref="I21">_xlfn.IFS(D21&gt;=75000,"A",D21&gt;=50000,"B",D21&lt;50000,"C")</f>
        <v>A</v>
      </c>
      <c r="J21" t="str" cm="1">
        <f t="array" ref="J21">_xlfn.IFS(B21="North","Zone-1",B21="South","Zone-2",B21="East","Zone-3",TRUE,"Zone-4")</f>
        <v>Zone-4</v>
      </c>
      <c r="K21" s="50">
        <f t="shared" si="2"/>
        <v>13984.5</v>
      </c>
      <c r="L21" s="50" t="str" cm="1">
        <f t="array" ref="L21">_xlfn.IFS(D21&lt;=20000,"Low",D21&lt;60000,"Medium",D21&gt;=60000,"High")</f>
        <v>High</v>
      </c>
      <c r="M21" s="50"/>
      <c r="N21" s="50"/>
      <c r="O21" s="50"/>
      <c r="P21" s="50"/>
      <c r="R21" s="29">
        <v>18</v>
      </c>
      <c r="S21" s="17" t="s">
        <v>98</v>
      </c>
      <c r="T21" s="27" t="s">
        <v>103</v>
      </c>
      <c r="U21" s="25" t="s">
        <v>104</v>
      </c>
      <c r="V21" s="26">
        <f>SUMIF(C2:C31,"=Groceries",D2:D31)</f>
        <v>387563</v>
      </c>
    </row>
    <row r="22" spans="1:22" ht="37.5" customHeight="1" x14ac:dyDescent="0.3">
      <c r="A22" s="14" t="s">
        <v>39</v>
      </c>
      <c r="B22" s="15" t="s">
        <v>7</v>
      </c>
      <c r="C22" s="15" t="s">
        <v>8</v>
      </c>
      <c r="D22" s="16">
        <v>8478</v>
      </c>
      <c r="E22" s="17" t="s">
        <v>9</v>
      </c>
      <c r="F22" s="16">
        <v>7</v>
      </c>
      <c r="G22" t="str">
        <f t="shared" si="0"/>
        <v>Low</v>
      </c>
      <c r="H22" t="str">
        <f t="shared" si="1"/>
        <v>Achieved</v>
      </c>
      <c r="I22" t="str" cm="1">
        <f t="array" ref="I22">_xlfn.IFS(D22&gt;=75000,"A",D22&gt;=50000,"B",D22&lt;50000,"C")</f>
        <v>C</v>
      </c>
      <c r="J22" t="str" cm="1">
        <f t="array" ref="J22">_xlfn.IFS(B22="North","Zone-1",B22="South","Zone-2",B22="East","Zone-3",TRUE,"Zone-4")</f>
        <v>Zone-1</v>
      </c>
      <c r="K22" s="50">
        <f t="shared" si="2"/>
        <v>1211.1428571428571</v>
      </c>
      <c r="L22" s="50" t="str" cm="1">
        <f t="array" ref="L22">_xlfn.IFS(D22&lt;=20000,"Low",D22&lt;60000,"Medium",D22&gt;=60000,"High")</f>
        <v>Low</v>
      </c>
      <c r="M22" s="50"/>
      <c r="N22" s="50"/>
      <c r="O22" s="50"/>
      <c r="P22" s="50"/>
      <c r="R22" s="29">
        <v>19</v>
      </c>
      <c r="S22" s="17" t="s">
        <v>105</v>
      </c>
      <c r="T22" s="24" t="s">
        <v>106</v>
      </c>
      <c r="U22" s="25" t="s">
        <v>107</v>
      </c>
      <c r="V22" s="26">
        <f>SUMIFS(D2:D31,E2:E31,"=Completed",B2:B31,"=North")</f>
        <v>207926</v>
      </c>
    </row>
    <row r="23" spans="1:22" ht="37.5" customHeight="1" x14ac:dyDescent="0.3">
      <c r="A23" s="18" t="s">
        <v>40</v>
      </c>
      <c r="B23" s="19" t="s">
        <v>11</v>
      </c>
      <c r="C23" s="19" t="s">
        <v>12</v>
      </c>
      <c r="D23" s="20">
        <v>78563</v>
      </c>
      <c r="E23" s="21" t="s">
        <v>13</v>
      </c>
      <c r="F23" s="20">
        <v>8</v>
      </c>
      <c r="G23" t="str">
        <f t="shared" si="0"/>
        <v>High</v>
      </c>
      <c r="H23" t="str">
        <f t="shared" si="1"/>
        <v>Not Achieved</v>
      </c>
      <c r="I23" t="str" cm="1">
        <f t="array" ref="I23">_xlfn.IFS(D23&gt;=75000,"A",D23&gt;=50000,"B",D23&lt;50000,"C")</f>
        <v>A</v>
      </c>
      <c r="J23" t="str" cm="1">
        <f t="array" ref="J23">_xlfn.IFS(B23="North","Zone-1",B23="South","Zone-2",B23="East","Zone-3",TRUE,"Zone-4")</f>
        <v>Zone-2</v>
      </c>
      <c r="K23" s="50">
        <f t="shared" si="2"/>
        <v>9820.375</v>
      </c>
      <c r="L23" s="50" t="str" cm="1">
        <f t="array" ref="L23">_xlfn.IFS(D23&lt;=20000,"Low",D23&lt;60000,"Medium",D23&gt;=60000,"High")</f>
        <v>High</v>
      </c>
      <c r="M23" s="50"/>
      <c r="N23" s="50"/>
      <c r="O23" s="50"/>
      <c r="P23" s="50"/>
      <c r="R23" s="29">
        <v>20</v>
      </c>
      <c r="S23" s="17" t="s">
        <v>105</v>
      </c>
      <c r="T23" s="27" t="s">
        <v>108</v>
      </c>
      <c r="U23" s="25" t="s">
        <v>107</v>
      </c>
      <c r="V23" s="26">
        <f>SUMIFS(D2:D31,C2:C31,"=Electronics",E2:E31,"=Completed")</f>
        <v>207926</v>
      </c>
    </row>
    <row r="24" spans="1:22" ht="37.5" customHeight="1" x14ac:dyDescent="0.3">
      <c r="A24" s="14" t="s">
        <v>41</v>
      </c>
      <c r="B24" s="15" t="s">
        <v>15</v>
      </c>
      <c r="C24" s="15" t="s">
        <v>16</v>
      </c>
      <c r="D24" s="15"/>
      <c r="E24" s="22" t="s">
        <v>17</v>
      </c>
      <c r="F24" s="16">
        <v>8</v>
      </c>
      <c r="G24" t="str">
        <f t="shared" si="0"/>
        <v>Low</v>
      </c>
      <c r="H24" t="str">
        <f t="shared" si="1"/>
        <v>Not Achieved</v>
      </c>
      <c r="I24" t="str" cm="1">
        <f t="array" ref="I24">_xlfn.IFS(D24&gt;=75000,"A",D24&gt;=50000,"B",D24&lt;50000,"C")</f>
        <v>C</v>
      </c>
      <c r="J24" t="str" cm="1">
        <f t="array" ref="J24">_xlfn.IFS(B24="North","Zone-1",B24="South","Zone-2",B24="East","Zone-3",TRUE,"Zone-4")</f>
        <v>Zone-3</v>
      </c>
      <c r="K24" s="50" t="str">
        <f t="shared" si="2"/>
        <v>N/A</v>
      </c>
      <c r="L24" s="50" t="str" cm="1">
        <f t="array" ref="L24">_xlfn.IFS(D24&lt;=20000,"Low",D24&lt;60000,"Medium",D24&gt;=60000,"High")</f>
        <v>Low</v>
      </c>
      <c r="M24" s="50"/>
      <c r="N24" s="50"/>
      <c r="O24" s="50"/>
      <c r="P24" s="50"/>
      <c r="R24" s="29">
        <v>21</v>
      </c>
      <c r="S24" s="17" t="s">
        <v>105</v>
      </c>
      <c r="T24" s="24" t="s">
        <v>109</v>
      </c>
      <c r="U24" s="25" t="s">
        <v>107</v>
      </c>
      <c r="V24" s="26">
        <f>SUMIFS(D2:D31,B2:B31,"=West",D2:D31,"&gt;=30000",D2:D31,"&lt;=80000")</f>
        <v>112285</v>
      </c>
    </row>
    <row r="25" spans="1:22" ht="37.5" customHeight="1" x14ac:dyDescent="0.3">
      <c r="A25" s="18" t="s">
        <v>42</v>
      </c>
      <c r="B25" s="19" t="s">
        <v>19</v>
      </c>
      <c r="C25" s="19" t="s">
        <v>20</v>
      </c>
      <c r="D25" s="20">
        <v>90181</v>
      </c>
      <c r="E25" s="17" t="s">
        <v>9</v>
      </c>
      <c r="F25" s="20">
        <v>4</v>
      </c>
      <c r="G25" t="str">
        <f t="shared" si="0"/>
        <v>High</v>
      </c>
      <c r="H25" t="str">
        <f t="shared" si="1"/>
        <v>Achieved</v>
      </c>
      <c r="I25" t="str" cm="1">
        <f t="array" ref="I25">_xlfn.IFS(D25&gt;=75000,"A",D25&gt;=50000,"B",D25&lt;50000,"C")</f>
        <v>A</v>
      </c>
      <c r="J25" t="str" cm="1">
        <f t="array" ref="J25">_xlfn.IFS(B25="North","Zone-1",B25="South","Zone-2",B25="East","Zone-3",TRUE,"Zone-4")</f>
        <v>Zone-4</v>
      </c>
      <c r="K25" s="50">
        <f t="shared" si="2"/>
        <v>22545.25</v>
      </c>
      <c r="L25" s="50" t="str" cm="1">
        <f t="array" ref="L25">_xlfn.IFS(D25&lt;=20000,"Low",D25&lt;60000,"Medium",D25&gt;=60000,"High")</f>
        <v>High</v>
      </c>
      <c r="M25" s="50"/>
      <c r="N25" s="54" t="s">
        <v>167</v>
      </c>
      <c r="O25" s="54" t="s">
        <v>166</v>
      </c>
      <c r="P25" s="50"/>
      <c r="R25" s="29">
        <v>22</v>
      </c>
      <c r="S25" s="17" t="s">
        <v>105</v>
      </c>
      <c r="T25" s="27" t="s">
        <v>110</v>
      </c>
      <c r="U25" s="25" t="s">
        <v>107</v>
      </c>
      <c r="V25" s="26">
        <f>SUMIFS(D2:D31,C2:C31,"=Furniture",B2:B31,"=East",E2:E31,"=Completed")</f>
        <v>0</v>
      </c>
    </row>
    <row r="26" spans="1:22" ht="37.5" customHeight="1" x14ac:dyDescent="0.3">
      <c r="A26" s="14" t="s">
        <v>43</v>
      </c>
      <c r="B26" s="15" t="s">
        <v>22</v>
      </c>
      <c r="C26" s="15" t="s">
        <v>23</v>
      </c>
      <c r="D26" s="16">
        <v>76426</v>
      </c>
      <c r="E26" s="22" t="s">
        <v>17</v>
      </c>
      <c r="F26" s="16">
        <v>3</v>
      </c>
      <c r="G26" t="str">
        <f t="shared" si="0"/>
        <v>High</v>
      </c>
      <c r="H26" t="str">
        <f t="shared" si="1"/>
        <v>Not Achieved</v>
      </c>
      <c r="I26" t="str" cm="1">
        <f t="array" ref="I26">_xlfn.IFS(D26&gt;=75000,"A",D26&gt;=50000,"B",D26&lt;50000,"C")</f>
        <v>A</v>
      </c>
      <c r="J26" t="str" cm="1">
        <f t="array" ref="J26">_xlfn.IFS(B26="North","Zone-1",B26="South","Zone-2",B26="East","Zone-3",TRUE,"Zone-4")</f>
        <v>Zone-4</v>
      </c>
      <c r="K26" s="50">
        <f t="shared" si="2"/>
        <v>25475.333333333332</v>
      </c>
      <c r="L26" s="50" t="str" cm="1">
        <f t="array" ref="L26">_xlfn.IFS(D26&lt;=20000,"Low",D26&lt;60000,"Medium",D26&gt;=60000,"High")</f>
        <v>High</v>
      </c>
      <c r="M26" s="50"/>
      <c r="N26" s="50" t="s">
        <v>168</v>
      </c>
      <c r="O26" s="50">
        <f>IFERROR(SUMIFS(D2:D31,E2:E31,"=Completed",B2:B31,"=East")/COUNTIFS(B2:B31,"=East",E2:E31,"=Completed"),0)</f>
        <v>0</v>
      </c>
      <c r="P26" s="50"/>
      <c r="R26" s="43">
        <v>23</v>
      </c>
      <c r="S26" s="44" t="s">
        <v>111</v>
      </c>
      <c r="T26" s="27" t="s">
        <v>112</v>
      </c>
      <c r="U26" s="25" t="s">
        <v>113</v>
      </c>
      <c r="V26" s="26" t="s">
        <v>169</v>
      </c>
    </row>
    <row r="27" spans="1:22" ht="37.5" customHeight="1" x14ac:dyDescent="0.3">
      <c r="A27" s="18" t="s">
        <v>44</v>
      </c>
      <c r="B27" s="19" t="s">
        <v>7</v>
      </c>
      <c r="C27" s="19" t="s">
        <v>8</v>
      </c>
      <c r="D27" s="20">
        <v>59987</v>
      </c>
      <c r="E27" s="17" t="s">
        <v>9</v>
      </c>
      <c r="F27" s="20">
        <v>2</v>
      </c>
      <c r="G27" t="str">
        <f t="shared" si="0"/>
        <v>Low</v>
      </c>
      <c r="H27" t="str">
        <f t="shared" si="1"/>
        <v>Achieved</v>
      </c>
      <c r="I27" t="str" cm="1">
        <f t="array" ref="I27">_xlfn.IFS(D27&gt;=75000,"A",D27&gt;=50000,"B",D27&lt;50000,"C")</f>
        <v>B</v>
      </c>
      <c r="J27" t="str" cm="1">
        <f t="array" ref="J27">_xlfn.IFS(B27="North","Zone-1",B27="South","Zone-2",B27="East","Zone-3",TRUE,"Zone-4")</f>
        <v>Zone-1</v>
      </c>
      <c r="K27" s="50">
        <f t="shared" si="2"/>
        <v>29993.5</v>
      </c>
      <c r="L27" s="50" t="str" cm="1">
        <f t="array" ref="L27">_xlfn.IFS(D27&lt;=20000,"Low",D27&lt;60000,"Medium",D27&gt;=60000,"High")</f>
        <v>Medium</v>
      </c>
      <c r="M27" s="50"/>
      <c r="N27" s="50" t="s">
        <v>19</v>
      </c>
      <c r="O27" s="50">
        <f>IFERROR(SUMIFS(D2:D31,E2:E31,"=Completed",B2:B31,"=West")/COUNTIFS(B2:B31,"=West",E2:E31,"=Completed"),0)</f>
        <v>64593.833333333336</v>
      </c>
      <c r="P27" s="50"/>
      <c r="R27" s="43">
        <v>24</v>
      </c>
      <c r="S27" s="44" t="s">
        <v>111</v>
      </c>
      <c r="T27" s="24" t="s">
        <v>114</v>
      </c>
      <c r="U27" s="25" t="s">
        <v>115</v>
      </c>
      <c r="V27" s="26">
        <f>IF(COUNTIFS(D2:D31,"&gt;=60000",E2:E31,"Completed")&gt;0,COUNTIFS(D2:D31,"&gt;=60000",E2:E31,"Completed"),0)</f>
        <v>7</v>
      </c>
    </row>
    <row r="28" spans="1:22" ht="37.5" customHeight="1" x14ac:dyDescent="0.3">
      <c r="A28" s="14" t="s">
        <v>45</v>
      </c>
      <c r="B28" s="15" t="s">
        <v>11</v>
      </c>
      <c r="C28" s="15" t="s">
        <v>12</v>
      </c>
      <c r="D28" s="16">
        <v>33893</v>
      </c>
      <c r="E28" s="21" t="s">
        <v>9</v>
      </c>
      <c r="F28" s="16">
        <v>0</v>
      </c>
      <c r="G28" t="str">
        <f t="shared" si="0"/>
        <v>Low</v>
      </c>
      <c r="H28" t="str">
        <f t="shared" si="1"/>
        <v>Achieved</v>
      </c>
      <c r="I28" t="str" cm="1">
        <f t="array" ref="I28">_xlfn.IFS(D28&gt;=75000,"A",D28&gt;=50000,"B",D28&lt;50000,"C")</f>
        <v>C</v>
      </c>
      <c r="J28" t="str" cm="1">
        <f t="array" ref="J28">_xlfn.IFS(B28="North","Zone-1",B28="South","Zone-2",B28="East","Zone-3",TRUE,"Zone-4")</f>
        <v>Zone-2</v>
      </c>
      <c r="K28" s="50" t="str">
        <f t="shared" si="2"/>
        <v>N/A</v>
      </c>
      <c r="L28" s="50" t="str" cm="1">
        <f t="array" ref="L28">_xlfn.IFS(D28&lt;=20000,"Low",D28&lt;60000,"Medium",D28&gt;=60000,"High")</f>
        <v>Medium</v>
      </c>
      <c r="M28" s="50"/>
      <c r="N28" s="50" t="s">
        <v>7</v>
      </c>
      <c r="O28" s="50">
        <f>IFERROR(SUMIFS(D2:D31,E2:E31,"=Completed",B2:B31,"=North")/COUNTIFS(B2:B31,"=North",E2:E31,"=Completed"),0)</f>
        <v>34654.333333333336</v>
      </c>
      <c r="P28" s="50"/>
      <c r="R28" s="43">
        <v>25</v>
      </c>
      <c r="S28" s="44" t="s">
        <v>111</v>
      </c>
      <c r="T28" s="27" t="s">
        <v>116</v>
      </c>
      <c r="U28" s="25" t="s">
        <v>117</v>
      </c>
      <c r="V28" s="26">
        <f>SUMIF(E2:E31,"=Cancelled",D2:D31)</f>
        <v>281477</v>
      </c>
    </row>
    <row r="29" spans="1:22" ht="37.5" customHeight="1" x14ac:dyDescent="0.3">
      <c r="A29" s="18" t="s">
        <v>46</v>
      </c>
      <c r="B29" s="19" t="s">
        <v>15</v>
      </c>
      <c r="C29" s="19" t="s">
        <v>16</v>
      </c>
      <c r="D29" s="20">
        <v>63878</v>
      </c>
      <c r="E29" s="22" t="s">
        <v>17</v>
      </c>
      <c r="F29" s="20">
        <v>5</v>
      </c>
      <c r="G29" t="str">
        <f t="shared" si="0"/>
        <v>High</v>
      </c>
      <c r="H29" t="str">
        <f t="shared" si="1"/>
        <v>Not Achieved</v>
      </c>
      <c r="I29" t="str" cm="1">
        <f t="array" ref="I29">_xlfn.IFS(D29&gt;=75000,"A",D29&gt;=50000,"B",D29&lt;50000,"C")</f>
        <v>B</v>
      </c>
      <c r="J29" t="str" cm="1">
        <f t="array" ref="J29">_xlfn.IFS(B29="North","Zone-1",B29="South","Zone-2",B29="East","Zone-3",TRUE,"Zone-4")</f>
        <v>Zone-3</v>
      </c>
      <c r="K29" s="50">
        <f t="shared" si="2"/>
        <v>12775.6</v>
      </c>
      <c r="L29" s="50" t="str" cm="1">
        <f t="array" ref="L29">_xlfn.IFS(D29&lt;=20000,"Low",D29&lt;60000,"Medium",D29&gt;=60000,"High")</f>
        <v>High</v>
      </c>
      <c r="M29" s="50"/>
      <c r="N29" s="50" t="s">
        <v>11</v>
      </c>
      <c r="O29" s="50">
        <f>IFERROR(SUMIFS(D2:D31,E2:E31,"=Completed",B2:B31,"=South")/COUNTIFS(B2:B31,"=South",E2:E31,"=Completed"),0)</f>
        <v>33893</v>
      </c>
      <c r="P29" s="50"/>
    </row>
    <row r="30" spans="1:22" ht="37.5" customHeight="1" x14ac:dyDescent="0.3">
      <c r="A30" s="14" t="s">
        <v>47</v>
      </c>
      <c r="B30" s="15" t="s">
        <v>19</v>
      </c>
      <c r="C30" s="15" t="s">
        <v>20</v>
      </c>
      <c r="D30" s="16">
        <v>82236</v>
      </c>
      <c r="E30" s="17" t="s">
        <v>9</v>
      </c>
      <c r="F30" s="16">
        <v>6</v>
      </c>
      <c r="G30" t="str">
        <f t="shared" si="0"/>
        <v>High</v>
      </c>
      <c r="H30" t="str">
        <f t="shared" si="1"/>
        <v>Achieved</v>
      </c>
      <c r="I30" t="str" cm="1">
        <f t="array" ref="I30">_xlfn.IFS(D30&gt;=75000,"A",D30&gt;=50000,"B",D30&lt;50000,"C")</f>
        <v>A</v>
      </c>
      <c r="J30" t="str" cm="1">
        <f t="array" ref="J30">_xlfn.IFS(B30="North","Zone-1",B30="South","Zone-2",B30="East","Zone-3",TRUE,"Zone-4")</f>
        <v>Zone-4</v>
      </c>
      <c r="K30" s="50">
        <f t="shared" si="2"/>
        <v>13706</v>
      </c>
      <c r="L30" s="50" t="str" cm="1">
        <f t="array" ref="L30">_xlfn.IFS(D30&lt;=20000,"Low",D30&lt;60000,"Medium",D30&gt;=60000,"High")</f>
        <v>High</v>
      </c>
      <c r="M30" s="50"/>
      <c r="N30" s="50" t="s">
        <v>22</v>
      </c>
      <c r="O30" s="50">
        <f>IFERROR(SUMIFS(D2:D31,E2:E31,"=Completed",B2:B31,"=Central")/COUNTIFS(B2:B31,"=Central",E2:E31,"=Completed"),0)</f>
        <v>52689.25</v>
      </c>
      <c r="P30" s="50"/>
      <c r="S30" s="53" t="s">
        <v>170</v>
      </c>
      <c r="T30" s="52" t="s">
        <v>171</v>
      </c>
      <c r="U30" s="51">
        <f>AVERAGEIFS(D2:D31,B2:B31,"=West",E2:E31,"=Completed")</f>
        <v>64593.833333333336</v>
      </c>
    </row>
    <row r="31" spans="1:22" ht="37.5" customHeight="1" x14ac:dyDescent="0.3">
      <c r="A31" s="18" t="s">
        <v>48</v>
      </c>
      <c r="B31" s="19" t="s">
        <v>22</v>
      </c>
      <c r="C31" s="19" t="s">
        <v>23</v>
      </c>
      <c r="D31" s="20">
        <v>41463</v>
      </c>
      <c r="E31" s="17" t="s">
        <v>9</v>
      </c>
      <c r="F31" s="20">
        <v>8</v>
      </c>
      <c r="G31" t="str">
        <f t="shared" si="0"/>
        <v>Low</v>
      </c>
      <c r="H31" t="str">
        <f t="shared" si="1"/>
        <v>Achieved</v>
      </c>
      <c r="I31" t="str" cm="1">
        <f t="array" ref="I31">_xlfn.IFS(D31&gt;=75000,"A",D31&gt;=50000,"B",D31&lt;50000,"C")</f>
        <v>C</v>
      </c>
      <c r="J31" t="str" cm="1">
        <f t="array" ref="J31">_xlfn.IFS(B31="North","Zone-1",B31="South","Zone-2",B31="East","Zone-3",TRUE,"Zone-4")</f>
        <v>Zone-4</v>
      </c>
      <c r="K31" s="50">
        <f t="shared" si="2"/>
        <v>5182.875</v>
      </c>
      <c r="L31" s="50" t="str" cm="1">
        <f t="array" ref="L31">_xlfn.IFS(D31&lt;=20000,"Low",D31&lt;60000,"Medium",D31&gt;=60000,"High")</f>
        <v>Medium</v>
      </c>
      <c r="M31" s="50"/>
      <c r="N31" s="50"/>
      <c r="O31" s="50"/>
      <c r="P31" s="50"/>
      <c r="S31" s="53" t="s">
        <v>165</v>
      </c>
      <c r="T31" s="52" t="s">
        <v>163</v>
      </c>
      <c r="U31" s="52">
        <f>COUNTIFS(L2:L31,"=High",E2:E31,"=Completed")</f>
        <v>7</v>
      </c>
    </row>
    <row r="32" spans="1:22" ht="37.5" customHeight="1" x14ac:dyDescent="0.3">
      <c r="S32" s="53" t="s">
        <v>165</v>
      </c>
      <c r="T32" s="52" t="s">
        <v>164</v>
      </c>
      <c r="U32" s="52">
        <f>COUNTIFS(D2:D31,"&gt;=60000",E2:E31,"=Completed")</f>
        <v>7</v>
      </c>
    </row>
    <row r="33" spans="20:20" ht="37.5" customHeight="1" x14ac:dyDescent="0.3">
      <c r="T33" s="52"/>
    </row>
  </sheetData>
  <autoFilter ref="A1:L31" xr:uid="{00000000-0001-0000-0100-000000000000}"/>
  <mergeCells count="2">
    <mergeCell ref="R1:V1"/>
    <mergeCell ref="R2:V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D12"/>
  <sheetViews>
    <sheetView workbookViewId="0">
      <selection activeCell="D12" sqref="D12"/>
    </sheetView>
  </sheetViews>
  <sheetFormatPr defaultColWidth="8.6640625" defaultRowHeight="14.4" x14ac:dyDescent="0.3"/>
  <cols>
    <col min="1" max="1" width="16" customWidth="1"/>
    <col min="2" max="2" width="44" customWidth="1"/>
    <col min="3" max="3" width="46" customWidth="1"/>
    <col min="4" max="4" width="28" customWidth="1"/>
  </cols>
  <sheetData>
    <row r="1" spans="1:4" ht="30" customHeight="1" x14ac:dyDescent="0.3">
      <c r="A1" s="55" t="s">
        <v>118</v>
      </c>
      <c r="B1" s="55"/>
      <c r="C1" s="55"/>
      <c r="D1" s="55"/>
    </row>
    <row r="2" spans="1:4" ht="21.75" customHeight="1" x14ac:dyDescent="0.3">
      <c r="A2" s="1" t="s">
        <v>119</v>
      </c>
      <c r="B2" s="1" t="s">
        <v>120</v>
      </c>
      <c r="C2" s="1" t="s">
        <v>121</v>
      </c>
      <c r="D2" s="1" t="s">
        <v>122</v>
      </c>
    </row>
    <row r="3" spans="1:4" ht="25.5" customHeight="1" x14ac:dyDescent="0.3">
      <c r="A3" s="2" t="s">
        <v>57</v>
      </c>
      <c r="B3" s="3" t="s">
        <v>123</v>
      </c>
      <c r="C3" s="3" t="s">
        <v>124</v>
      </c>
      <c r="D3" s="4" t="s">
        <v>125</v>
      </c>
    </row>
    <row r="4" spans="1:4" ht="25.5" customHeight="1" x14ac:dyDescent="0.3">
      <c r="A4" s="5" t="s">
        <v>63</v>
      </c>
      <c r="B4" s="6" t="s">
        <v>126</v>
      </c>
      <c r="C4" s="6" t="s">
        <v>127</v>
      </c>
      <c r="D4" s="7" t="s">
        <v>128</v>
      </c>
    </row>
    <row r="5" spans="1:4" ht="25.5" customHeight="1" x14ac:dyDescent="0.3">
      <c r="A5" s="8" t="s">
        <v>69</v>
      </c>
      <c r="B5" s="9" t="s">
        <v>129</v>
      </c>
      <c r="C5" s="9" t="s">
        <v>130</v>
      </c>
      <c r="D5" s="10" t="s">
        <v>131</v>
      </c>
    </row>
    <row r="6" spans="1:4" ht="25.5" customHeight="1" x14ac:dyDescent="0.3">
      <c r="A6" s="11" t="s">
        <v>73</v>
      </c>
      <c r="B6" s="12" t="s">
        <v>132</v>
      </c>
      <c r="C6" s="12" t="s">
        <v>133</v>
      </c>
      <c r="D6" s="13" t="s">
        <v>134</v>
      </c>
    </row>
    <row r="7" spans="1:4" ht="25.5" customHeight="1" x14ac:dyDescent="0.3">
      <c r="A7" s="2" t="s">
        <v>77</v>
      </c>
      <c r="B7" s="3" t="s">
        <v>135</v>
      </c>
      <c r="C7" s="3" t="s">
        <v>136</v>
      </c>
      <c r="D7" s="4" t="s">
        <v>137</v>
      </c>
    </row>
    <row r="8" spans="1:4" ht="25.5" customHeight="1" x14ac:dyDescent="0.3">
      <c r="A8" s="5" t="s">
        <v>80</v>
      </c>
      <c r="B8" s="6" t="s">
        <v>138</v>
      </c>
      <c r="C8" s="6" t="s">
        <v>139</v>
      </c>
      <c r="D8" s="7" t="s">
        <v>140</v>
      </c>
    </row>
    <row r="9" spans="1:4" ht="25.5" customHeight="1" x14ac:dyDescent="0.3">
      <c r="A9" s="8" t="s">
        <v>84</v>
      </c>
      <c r="B9" s="9" t="s">
        <v>141</v>
      </c>
      <c r="C9" s="9" t="s">
        <v>142</v>
      </c>
      <c r="D9" s="10" t="s">
        <v>143</v>
      </c>
    </row>
    <row r="10" spans="1:4" ht="25.5" customHeight="1" x14ac:dyDescent="0.3">
      <c r="A10" s="11" t="s">
        <v>94</v>
      </c>
      <c r="B10" s="12" t="s">
        <v>144</v>
      </c>
      <c r="C10" s="12" t="s">
        <v>145</v>
      </c>
      <c r="D10" s="13" t="s">
        <v>146</v>
      </c>
    </row>
    <row r="11" spans="1:4" ht="25.5" customHeight="1" x14ac:dyDescent="0.3">
      <c r="A11" s="2" t="s">
        <v>98</v>
      </c>
      <c r="B11" s="3" t="s">
        <v>147</v>
      </c>
      <c r="C11" s="3" t="s">
        <v>148</v>
      </c>
      <c r="D11" s="4" t="s">
        <v>149</v>
      </c>
    </row>
    <row r="12" spans="1:4" ht="25.5" customHeight="1" x14ac:dyDescent="0.3">
      <c r="A12" s="5" t="s">
        <v>105</v>
      </c>
      <c r="B12" s="6" t="s">
        <v>150</v>
      </c>
      <c r="C12" s="6" t="s">
        <v>151</v>
      </c>
      <c r="D12" s="7" t="s">
        <v>152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Sales_Data</vt:lpstr>
      <vt:lpstr>Practice_Tasks</vt:lpstr>
      <vt:lpstr>Quick_Reference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kudale</cp:lastModifiedBy>
  <cp:revision>0</cp:revision>
  <dcterms:created xsi:type="dcterms:W3CDTF">2026-04-08T05:33:00Z</dcterms:created>
  <dcterms:modified xsi:type="dcterms:W3CDTF">2026-08-19T17:35:12Z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1033-12.2.0.13215</vt:lpwstr>
  </property>
</Properties>
</file>